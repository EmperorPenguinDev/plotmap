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heme/themeOverride7.xml" ContentType="application/vnd.openxmlformats-officedocument.themeOverride+xml"/>
  <Override PartName="/xl/drawings/drawing5.xml" ContentType="application/vnd.openxmlformats-officedocument.drawing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heme/themeOverride9.xml" ContentType="application/vnd.openxmlformats-officedocument.themeOverride+xml"/>
  <Override PartName="/xl/drawings/drawing6.xml" ContentType="application/vnd.openxmlformats-officedocument.drawing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heme/themeOverride10.xml" ContentType="application/vnd.openxmlformats-officedocument.themeOverrid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theme/themeOverride11.xml" ContentType="application/vnd.openxmlformats-officedocument.themeOverrid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theme/themeOverride12.xml" ContentType="application/vnd.openxmlformats-officedocument.themeOverrid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theme/themeOverride13.xml" ContentType="application/vnd.openxmlformats-officedocument.themeOverride+xml"/>
  <Override PartName="/xl/drawings/drawing7.xml" ContentType="application/vnd.openxmlformats-officedocument.drawing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theme/themeOverride14.xml" ContentType="application/vnd.openxmlformats-officedocument.themeOverrid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heme/themeOverride15.xml" ContentType="application/vnd.openxmlformats-officedocument.themeOverride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theme/themeOverride16.xml" ContentType="application/vnd.openxmlformats-officedocument.themeOverrid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theme/themeOverride17.xml" ContentType="application/vnd.openxmlformats-officedocument.themeOverride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theme/themeOverride18.xml" ContentType="application/vnd.openxmlformats-officedocument.themeOverrid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theme/themeOverride19.xml" ContentType="application/vnd.openxmlformats-officedocument.themeOverride+xml"/>
  <Override PartName="/xl/charts/chart20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theme/themeOverride20.xml" ContentType="application/vnd.openxmlformats-officedocument.themeOverride+xml"/>
  <Override PartName="/xl/charts/chart21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theme/themeOverride21.xml" ContentType="application/vnd.openxmlformats-officedocument.themeOverride+xml"/>
  <Override PartName="/xl/charts/chart22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theme/themeOverride22.xml" ContentType="application/vnd.openxmlformats-officedocument.themeOverride+xml"/>
  <Override PartName="/xl/drawings/drawing9.xml" ContentType="application/vnd.openxmlformats-officedocument.drawing+xml"/>
  <Override PartName="/xl/charts/chart23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theme/themeOverride23.xml" ContentType="application/vnd.openxmlformats-officedocument.themeOverride+xml"/>
  <Override PartName="/xl/charts/chart24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theme/themeOverride24.xml" ContentType="application/vnd.openxmlformats-officedocument.themeOverride+xml"/>
  <Override PartName="/xl/charts/chart25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theme/themeOverride25.xml" ContentType="application/vnd.openxmlformats-officedocument.themeOverride+xml"/>
  <Override PartName="/xl/charts/chart26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theme/themeOverride26.xml" ContentType="application/vnd.openxmlformats-officedocument.themeOverride+xml"/>
  <Override PartName="/xl/drawings/drawing10.xml" ContentType="application/vnd.openxmlformats-officedocument.drawing+xml"/>
  <Override PartName="/xl/charts/chart27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theme/themeOverride27.xml" ContentType="application/vnd.openxmlformats-officedocument.themeOverride+xml"/>
  <Override PartName="/xl/charts/chart28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theme/themeOverride28.xml" ContentType="application/vnd.openxmlformats-officedocument.themeOverride+xml"/>
  <Override PartName="/xl/charts/chart29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theme/themeOverride29.xml" ContentType="application/vnd.openxmlformats-officedocument.themeOverride+xml"/>
  <Override PartName="/xl/charts/chart30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theme/themeOverride30.xml" ContentType="application/vnd.openxmlformats-officedocument.themeOverride+xml"/>
  <Override PartName="/xl/charts/chart31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theme/themeOverride31.xml" ContentType="application/vnd.openxmlformats-officedocument.themeOverride+xml"/>
  <Override PartName="/xl/charts/chart32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theme/themeOverride32.xml" ContentType="application/vnd.openxmlformats-officedocument.themeOverride+xml"/>
  <Override PartName="/xl/charts/chart33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theme/themeOverride33.xml" ContentType="application/vnd.openxmlformats-officedocument.themeOverride+xml"/>
  <Override PartName="/xl/charts/chart34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theme/themeOverride34.xml" ContentType="application/vnd.openxmlformats-officedocument.themeOverride+xml"/>
  <Override PartName="/xl/charts/chart35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theme/themeOverride35.xml" ContentType="application/vnd.openxmlformats-officedocument.themeOverride+xml"/>
  <Override PartName="/xl/drawings/drawing11.xml" ContentType="application/vnd.openxmlformats-officedocument.drawing+xml"/>
  <Override PartName="/xl/charts/chart36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theme/themeOverride36.xml" ContentType="application/vnd.openxmlformats-officedocument.themeOverride+xml"/>
  <Override PartName="/xl/charts/chart37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theme/themeOverride37.xml" ContentType="application/vnd.openxmlformats-officedocument.themeOverride+xml"/>
  <Override PartName="/xl/charts/chart38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theme/themeOverride38.xml" ContentType="application/vnd.openxmlformats-officedocument.themeOverride+xml"/>
  <Override PartName="/xl/drawings/drawing12.xml" ContentType="application/vnd.openxmlformats-officedocument.drawing+xml"/>
  <Override PartName="/xl/charts/chart39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theme/themeOverride39.xml" ContentType="application/vnd.openxmlformats-officedocument.themeOverride+xml"/>
  <Override PartName="/xl/charts/chart40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theme/themeOverride40.xml" ContentType="application/vnd.openxmlformats-officedocument.themeOverride+xml"/>
  <Override PartName="/xl/drawings/drawing13.xml" ContentType="application/vnd.openxmlformats-officedocument.drawing+xml"/>
  <Override PartName="/xl/charts/chart41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theme/themeOverride41.xml" ContentType="application/vnd.openxmlformats-officedocument.themeOverride+xml"/>
  <Override PartName="/xl/charts/chart42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theme/themeOverride42.xml" ContentType="application/vnd.openxmlformats-officedocument.themeOverride+xml"/>
  <Override PartName="/xl/charts/chart43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theme/themeOverride43.xml" ContentType="application/vnd.openxmlformats-officedocument.themeOverride+xml"/>
  <Override PartName="/xl/drawings/drawing14.xml" ContentType="application/vnd.openxmlformats-officedocument.drawing+xml"/>
  <Override PartName="/xl/charts/chart44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theme/themeOverride44.xml" ContentType="application/vnd.openxmlformats-officedocument.themeOverride+xml"/>
  <Override PartName="/xl/charts/chart45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theme/themeOverride45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Hashfi\Work\Project\automsqos\"/>
    </mc:Choice>
  </mc:AlternateContent>
  <xr:revisionPtr revIDLastSave="0" documentId="13_ncr:1_{88E91B9D-45F3-47F6-8161-7129982C3629}" xr6:coauthVersionLast="47" xr6:coauthVersionMax="47" xr10:uidLastSave="{00000000-0000-0000-0000-000000000000}"/>
  <bookViews>
    <workbookView xWindow="-120" yWindow="-120" windowWidth="29040" windowHeight="15990" activeTab="4" xr2:uid="{00000000-000D-0000-FFFF-FFFF00000000}"/>
  </bookViews>
  <sheets>
    <sheet name="Summary Radio" sheetId="31" r:id="rId1"/>
    <sheet name="Summary Data &amp; Voice" sheetId="30" r:id="rId2"/>
    <sheet name="Input" sheetId="3" r:id="rId3"/>
    <sheet name="Scattering Plot FTP DL 4G" sheetId="16" state="hidden" r:id="rId4"/>
    <sheet name="Radio Tech" sheetId="5" r:id="rId5"/>
    <sheet name="HTTP" sheetId="8" r:id="rId6"/>
    <sheet name="FTP" sheetId="6" r:id="rId7"/>
    <sheet name="Scater Plot FTP DL 4G" sheetId="17" state="hidden" r:id="rId8"/>
    <sheet name="Speedtest" sheetId="9" r:id="rId9"/>
    <sheet name="Capacity Test" sheetId="29" r:id="rId10"/>
    <sheet name="Youtube" sheetId="10" r:id="rId11"/>
    <sheet name="Whatsapp Call" sheetId="11" r:id="rId12"/>
    <sheet name="Whatsapp Message" sheetId="12" r:id="rId13"/>
    <sheet name="Voice Call" sheetId="13" r:id="rId14"/>
    <sheet name="SMS" sheetId="14" r:id="rId1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48" i="3" l="1"/>
  <c r="E48" i="3"/>
  <c r="D48" i="3"/>
  <c r="C48" i="3"/>
  <c r="D52" i="3"/>
  <c r="O4" i="30"/>
  <c r="N4" i="30"/>
  <c r="M4" i="30"/>
  <c r="L4" i="30"/>
  <c r="G52" i="3"/>
  <c r="P4" i="30" s="1"/>
  <c r="F52" i="3"/>
  <c r="C52" i="3"/>
  <c r="E52" i="3"/>
  <c r="G58" i="3"/>
  <c r="F58" i="3"/>
  <c r="E58" i="3"/>
  <c r="D58" i="3"/>
  <c r="C58" i="3"/>
  <c r="G57" i="3"/>
  <c r="F57" i="3"/>
  <c r="E57" i="3"/>
  <c r="D57" i="3"/>
  <c r="C57" i="3"/>
  <c r="G48" i="3"/>
  <c r="P5" i="30" l="1"/>
  <c r="O5" i="30"/>
  <c r="N5" i="30"/>
  <c r="M5" i="30"/>
  <c r="L5" i="30"/>
  <c r="F5" i="31"/>
  <c r="O7" i="31"/>
  <c r="O6" i="31"/>
  <c r="O8" i="31" s="1"/>
  <c r="L7" i="31"/>
  <c r="L6" i="31"/>
  <c r="F7" i="31"/>
  <c r="F8" i="31" s="1"/>
  <c r="F6" i="31"/>
  <c r="C7" i="31"/>
  <c r="C6" i="31"/>
  <c r="C8" i="31" s="1"/>
  <c r="O4" i="31"/>
  <c r="O3" i="31"/>
  <c r="L4" i="31"/>
  <c r="L3" i="31"/>
  <c r="C4" i="31"/>
  <c r="C3" i="31"/>
  <c r="P7" i="31"/>
  <c r="P6" i="31"/>
  <c r="P8" i="31" s="1"/>
  <c r="M7" i="31"/>
  <c r="M6" i="31"/>
  <c r="G7" i="31"/>
  <c r="G6" i="31"/>
  <c r="G8" i="31" s="1"/>
  <c r="D7" i="31"/>
  <c r="D6" i="31"/>
  <c r="P4" i="31"/>
  <c r="P3" i="31"/>
  <c r="M4" i="31"/>
  <c r="M3" i="31"/>
  <c r="M5" i="31" s="1"/>
  <c r="G4" i="31"/>
  <c r="G3" i="31"/>
  <c r="D4" i="31"/>
  <c r="D3" i="31"/>
  <c r="Q7" i="31"/>
  <c r="Q6" i="31"/>
  <c r="N7" i="31"/>
  <c r="N6" i="31"/>
  <c r="N8" i="31" s="1"/>
  <c r="K7" i="31"/>
  <c r="K6" i="31"/>
  <c r="H7" i="31"/>
  <c r="H6" i="31"/>
  <c r="H8" i="31" s="1"/>
  <c r="E7" i="31"/>
  <c r="E6" i="31"/>
  <c r="Q4" i="31"/>
  <c r="Q3" i="31"/>
  <c r="N4" i="31"/>
  <c r="N3" i="31"/>
  <c r="K4" i="31"/>
  <c r="K3" i="31"/>
  <c r="K5" i="31" s="1"/>
  <c r="H4" i="31"/>
  <c r="H3" i="31"/>
  <c r="E4" i="31"/>
  <c r="E3" i="31"/>
  <c r="E5" i="31" s="1"/>
  <c r="P8" i="30"/>
  <c r="P10" i="30" s="1"/>
  <c r="O8" i="30"/>
  <c r="N8" i="30"/>
  <c r="N10" i="30" s="1"/>
  <c r="M8" i="30"/>
  <c r="P7" i="30"/>
  <c r="O7" i="30"/>
  <c r="N7" i="30"/>
  <c r="M7" i="30"/>
  <c r="P6" i="30"/>
  <c r="O6" i="30"/>
  <c r="N6" i="30"/>
  <c r="M6" i="30"/>
  <c r="L8" i="30"/>
  <c r="L7" i="30"/>
  <c r="L6" i="30"/>
  <c r="P3" i="30"/>
  <c r="O3" i="30"/>
  <c r="N3" i="30"/>
  <c r="M3" i="30"/>
  <c r="P2" i="30"/>
  <c r="O2" i="30"/>
  <c r="N2" i="30"/>
  <c r="M2" i="30"/>
  <c r="L3" i="30"/>
  <c r="L2" i="30"/>
  <c r="G36" i="30"/>
  <c r="F36" i="30"/>
  <c r="E36" i="30"/>
  <c r="D36" i="30"/>
  <c r="C36" i="30"/>
  <c r="G35" i="30"/>
  <c r="F35" i="30"/>
  <c r="E35" i="30"/>
  <c r="D35" i="30"/>
  <c r="C35" i="30"/>
  <c r="G34" i="30"/>
  <c r="F34" i="30"/>
  <c r="E34" i="30"/>
  <c r="D34" i="30"/>
  <c r="C34" i="30"/>
  <c r="G33" i="30"/>
  <c r="F33" i="30"/>
  <c r="E33" i="30"/>
  <c r="D33" i="30"/>
  <c r="C33" i="30"/>
  <c r="G32" i="30"/>
  <c r="F32" i="30"/>
  <c r="E32" i="30"/>
  <c r="D32" i="30"/>
  <c r="C32" i="30"/>
  <c r="G31" i="30"/>
  <c r="F31" i="30"/>
  <c r="E31" i="30"/>
  <c r="D31" i="30"/>
  <c r="G30" i="30"/>
  <c r="F30" i="30"/>
  <c r="E30" i="30"/>
  <c r="D30" i="30"/>
  <c r="C31" i="30"/>
  <c r="C30" i="30"/>
  <c r="F22" i="30"/>
  <c r="C22" i="30"/>
  <c r="D22" i="30"/>
  <c r="E22" i="30"/>
  <c r="G22" i="30"/>
  <c r="G27" i="30"/>
  <c r="F27" i="30"/>
  <c r="E27" i="30"/>
  <c r="D27" i="30"/>
  <c r="C27" i="30"/>
  <c r="G26" i="30"/>
  <c r="F26" i="30"/>
  <c r="E26" i="30"/>
  <c r="D26" i="30"/>
  <c r="C26" i="30"/>
  <c r="G25" i="30"/>
  <c r="C25" i="30"/>
  <c r="D25" i="30"/>
  <c r="E25" i="30"/>
  <c r="F25" i="30"/>
  <c r="G24" i="30"/>
  <c r="F24" i="30"/>
  <c r="E24" i="30"/>
  <c r="D24" i="30"/>
  <c r="C24" i="30"/>
  <c r="G23" i="30"/>
  <c r="F23" i="30"/>
  <c r="E23" i="30"/>
  <c r="D23" i="30"/>
  <c r="C23" i="30"/>
  <c r="G20" i="30"/>
  <c r="F20" i="30"/>
  <c r="E20" i="30"/>
  <c r="D20" i="30"/>
  <c r="C20" i="30"/>
  <c r="G19" i="30"/>
  <c r="F19" i="30"/>
  <c r="E19" i="30"/>
  <c r="D19" i="30"/>
  <c r="C19" i="30"/>
  <c r="G18" i="30"/>
  <c r="F18" i="30"/>
  <c r="C18" i="30"/>
  <c r="D18" i="30"/>
  <c r="E18" i="30"/>
  <c r="G16" i="30"/>
  <c r="F16" i="30"/>
  <c r="E16" i="30"/>
  <c r="D16" i="30"/>
  <c r="G15" i="30"/>
  <c r="F15" i="30"/>
  <c r="E15" i="30"/>
  <c r="D15" i="30"/>
  <c r="G14" i="30"/>
  <c r="F14" i="30"/>
  <c r="E14" i="30"/>
  <c r="C14" i="30"/>
  <c r="D14" i="30"/>
  <c r="C16" i="30"/>
  <c r="C15" i="30"/>
  <c r="G12" i="30"/>
  <c r="F12" i="30"/>
  <c r="E12" i="30"/>
  <c r="D12" i="30"/>
  <c r="G11" i="30"/>
  <c r="F11" i="30"/>
  <c r="E11" i="30"/>
  <c r="D11" i="30"/>
  <c r="G10" i="30"/>
  <c r="C10" i="30"/>
  <c r="D10" i="30"/>
  <c r="E10" i="30"/>
  <c r="F10" i="30"/>
  <c r="C12" i="30"/>
  <c r="C11" i="30"/>
  <c r="G8" i="30"/>
  <c r="F8" i="30"/>
  <c r="E8" i="30"/>
  <c r="D8" i="30"/>
  <c r="G7" i="30"/>
  <c r="F7" i="30"/>
  <c r="E7" i="30"/>
  <c r="D7" i="30"/>
  <c r="G6" i="30"/>
  <c r="F6" i="30"/>
  <c r="C6" i="30"/>
  <c r="D6" i="30"/>
  <c r="E6" i="30"/>
  <c r="C8" i="30"/>
  <c r="C7" i="30"/>
  <c r="C4" i="30"/>
  <c r="G4" i="30"/>
  <c r="F4" i="30"/>
  <c r="E4" i="30"/>
  <c r="D4" i="30"/>
  <c r="G3" i="30"/>
  <c r="F3" i="30"/>
  <c r="E3" i="30"/>
  <c r="D3" i="30"/>
  <c r="C3" i="30"/>
  <c r="G2" i="30"/>
  <c r="F2" i="30"/>
  <c r="C2" i="30"/>
  <c r="D2" i="30"/>
  <c r="E2" i="30"/>
  <c r="J8" i="31"/>
  <c r="I8" i="31"/>
  <c r="D8" i="31"/>
  <c r="P5" i="31"/>
  <c r="O5" i="31"/>
  <c r="L5" i="31"/>
  <c r="J5" i="31"/>
  <c r="I5" i="31"/>
  <c r="EY2" i="16"/>
  <c r="EX2" i="16"/>
  <c r="EW2" i="16"/>
  <c r="EV2" i="16"/>
  <c r="EU2" i="16"/>
  <c r="ET2" i="16"/>
  <c r="EM2" i="16"/>
  <c r="DI2" i="16"/>
  <c r="Q5" i="31" l="1"/>
  <c r="D5" i="31"/>
  <c r="L8" i="31"/>
  <c r="E8" i="31"/>
  <c r="G28" i="30"/>
  <c r="O9" i="30"/>
  <c r="P9" i="30"/>
  <c r="Q8" i="31"/>
  <c r="G5" i="31"/>
  <c r="M9" i="30"/>
  <c r="H5" i="31"/>
  <c r="K8" i="31"/>
  <c r="N5" i="31"/>
  <c r="M8" i="31"/>
  <c r="C5" i="31"/>
  <c r="D29" i="30"/>
  <c r="D13" i="30"/>
  <c r="D17" i="30"/>
  <c r="E17" i="30"/>
  <c r="C17" i="30"/>
  <c r="F21" i="30"/>
  <c r="L9" i="30"/>
  <c r="N9" i="30"/>
  <c r="E29" i="30"/>
  <c r="F29" i="30"/>
  <c r="F28" i="30"/>
  <c r="C21" i="30"/>
  <c r="G21" i="30"/>
  <c r="F17" i="30"/>
  <c r="G17" i="30"/>
  <c r="C13" i="30"/>
  <c r="E9" i="30"/>
  <c r="E5" i="30"/>
  <c r="O10" i="30"/>
  <c r="L10" i="30"/>
  <c r="M10" i="30"/>
  <c r="C28" i="30"/>
  <c r="C29" i="30"/>
  <c r="G29" i="30"/>
  <c r="D28" i="30"/>
  <c r="E28" i="30"/>
  <c r="E21" i="30"/>
  <c r="D21" i="30"/>
  <c r="G13" i="30"/>
  <c r="F13" i="30"/>
  <c r="E13" i="30"/>
  <c r="G9" i="30"/>
  <c r="C9" i="30"/>
  <c r="G5" i="30"/>
  <c r="D9" i="30"/>
  <c r="F9" i="30"/>
  <c r="F5" i="30"/>
  <c r="D5" i="30"/>
  <c r="C5" i="30"/>
</calcChain>
</file>

<file path=xl/sharedStrings.xml><?xml version="1.0" encoding="utf-8"?>
<sst xmlns="http://schemas.openxmlformats.org/spreadsheetml/2006/main" count="454" uniqueCount="179">
  <si>
    <t>KPI</t>
  </si>
  <si>
    <t>Indosat Ooredoo</t>
  </si>
  <si>
    <t>Smartfren</t>
  </si>
  <si>
    <t>Telkomsel</t>
  </si>
  <si>
    <t>XL</t>
  </si>
  <si>
    <t>Voice Call</t>
  </si>
  <si>
    <t>Dropped Call</t>
  </si>
  <si>
    <t>Success Call (%)</t>
  </si>
  <si>
    <t>Dropped Call (%)</t>
  </si>
  <si>
    <t>Call Setup Time (s)</t>
  </si>
  <si>
    <t>Mean Opinion Score (MOS)</t>
  </si>
  <si>
    <t>SMS Delivered (Average Sec)</t>
  </si>
  <si>
    <t>WhatsApp Call</t>
  </si>
  <si>
    <t>WhatsApp Messaging</t>
  </si>
  <si>
    <t>Avg Duration Send(s)</t>
  </si>
  <si>
    <t>Video Streaming by YouTube</t>
  </si>
  <si>
    <t>Stream Success Rate (%)</t>
  </si>
  <si>
    <t>Avg Visual Quality / MOS</t>
  </si>
  <si>
    <t>Avg Time to first Picture (s)</t>
  </si>
  <si>
    <t>Youtube</t>
  </si>
  <si>
    <t>Browsing</t>
  </si>
  <si>
    <t>Average Download Speed (Mbps)</t>
  </si>
  <si>
    <t>Average Upload Speed (Mbps)</t>
  </si>
  <si>
    <t>Coverage</t>
  </si>
  <si>
    <t>Quality</t>
  </si>
  <si>
    <t>Whatsapp Call</t>
  </si>
  <si>
    <t>Whatsapp Message</t>
  </si>
  <si>
    <t>SMS Onnet &amp; Offnet</t>
  </si>
  <si>
    <t>Average Visual Quality</t>
  </si>
  <si>
    <t>Average Voice Quality</t>
  </si>
  <si>
    <t>Tech</t>
  </si>
  <si>
    <t>2G (%)</t>
  </si>
  <si>
    <t>3G (%)</t>
  </si>
  <si>
    <t>4G (%)</t>
  </si>
  <si>
    <t>720p (%)</t>
  </si>
  <si>
    <t>480p (%)</t>
  </si>
  <si>
    <t>360p (%)</t>
  </si>
  <si>
    <t>240p (%)</t>
  </si>
  <si>
    <t>RSRP</t>
  </si>
  <si>
    <t>Prob</t>
  </si>
  <si>
    <t>Baik</t>
  </si>
  <si>
    <t>Cukup</t>
  </si>
  <si>
    <t>Kurang</t>
  </si>
  <si>
    <t>RSRQ</t>
  </si>
  <si>
    <t>Baik Sekali</t>
  </si>
  <si>
    <t>RX Lev</t>
  </si>
  <si>
    <t>RX Qual</t>
  </si>
  <si>
    <t>UniqueId</t>
  </si>
  <si>
    <t>CID</t>
  </si>
  <si>
    <t>LAC</t>
  </si>
  <si>
    <t>MCC</t>
  </si>
  <si>
    <t>MNC</t>
  </si>
  <si>
    <t>Operator</t>
  </si>
  <si>
    <t>CGI</t>
  </si>
  <si>
    <t>Technology</t>
  </si>
  <si>
    <t>Comb</t>
  </si>
  <si>
    <t>Lon</t>
  </si>
  <si>
    <t>Lat</t>
  </si>
  <si>
    <t>SessionId</t>
  </si>
  <si>
    <t>TestId</t>
  </si>
  <si>
    <t>NetworkId</t>
  </si>
  <si>
    <t>SystemName</t>
  </si>
  <si>
    <t>ADevice</t>
  </si>
  <si>
    <t>Time</t>
  </si>
  <si>
    <t>PosId</t>
  </si>
  <si>
    <t>FileId</t>
  </si>
  <si>
    <t>BTSLon</t>
  </si>
  <si>
    <t>BTSLat</t>
  </si>
  <si>
    <t>BTSLonDiff</t>
  </si>
  <si>
    <t>BTSLatDiff</t>
  </si>
  <si>
    <t>BTSDist</t>
  </si>
  <si>
    <t>BTS2LonDiff</t>
  </si>
  <si>
    <t>BTS2LatDiff</t>
  </si>
  <si>
    <t>BTS2Dist</t>
  </si>
  <si>
    <t>BTS3LonDiff</t>
  </si>
  <si>
    <t>BTS3LatDiff</t>
  </si>
  <si>
    <t>BTS3Dist</t>
  </si>
  <si>
    <t>BTSTech</t>
  </si>
  <si>
    <t>FloorPlanName</t>
  </si>
  <si>
    <t>FloorPlanLevel</t>
  </si>
  <si>
    <t>SessionIdLP</t>
  </si>
  <si>
    <t>TestIdLP</t>
  </si>
  <si>
    <t>PosIdLP</t>
  </si>
  <si>
    <t>NetworkIdLP</t>
  </si>
  <si>
    <t>Throughput</t>
  </si>
  <si>
    <t>Throughput (Mbps)</t>
  </si>
  <si>
    <t>errorcode</t>
  </si>
  <si>
    <t>host</t>
  </si>
  <si>
    <t>operation</t>
  </si>
  <si>
    <t>filename</t>
  </si>
  <si>
    <t>&gt;=25 Mbps</t>
  </si>
  <si>
    <t>&gt;=20 and &lt;25 Mbps</t>
  </si>
  <si>
    <t>&gt;=7 and &lt;20 Mbps</t>
  </si>
  <si>
    <t>&gt;=5 and &lt;7 Mbps</t>
  </si>
  <si>
    <t>&gt;=1 and &lt;5 Mbps</t>
  </si>
  <si>
    <t>&lt;1 Mbps</t>
  </si>
  <si>
    <t>UMTS 2100</t>
  </si>
  <si>
    <t>112.93981-7.9141328340826488835</t>
  </si>
  <si>
    <t>WIN-RUIQL3H144Q</t>
  </si>
  <si>
    <t>Samsung Galaxy S9 (SM-G960FDS)</t>
  </si>
  <si>
    <t>16.07.2020 08:08:44.498</t>
  </si>
  <si>
    <t>OK</t>
  </si>
  <si>
    <t>ftp://anmsftp.org</t>
  </si>
  <si>
    <t>GET</t>
  </si>
  <si>
    <t>/DummyFiles/file10MB.bin</t>
  </si>
  <si>
    <t>112.939824-7.9141268340826488835</t>
  </si>
  <si>
    <t>16.07.2020 08:12:47.285</t>
  </si>
  <si>
    <t>LTE E-UTRA 5</t>
  </si>
  <si>
    <t>112.939824-7.9140668336531521543</t>
  </si>
  <si>
    <t>16.07.2020 08:11:26.311</t>
  </si>
  <si>
    <t>Unknown socket error (interface disconnected?)</t>
  </si>
  <si>
    <t>57600789-10-510</t>
  </si>
  <si>
    <t>LTE E-UTRA 3</t>
  </si>
  <si>
    <t>112.939855-7.914158345121456132</t>
  </si>
  <si>
    <t>16.07.2020 08:08:23.831</t>
  </si>
  <si>
    <t>57600790-10-510</t>
  </si>
  <si>
    <t>LTE E-UTRA 8</t>
  </si>
  <si>
    <t>112.939863-7.9141428345121456134</t>
  </si>
  <si>
    <t>16.07.2020 08:11:14.005</t>
  </si>
  <si>
    <t>10648321-28-510</t>
  </si>
  <si>
    <t>16.07.2020 08:09:07.148</t>
  </si>
  <si>
    <t>RSCP</t>
  </si>
  <si>
    <t>ECI0</t>
  </si>
  <si>
    <t>Success</t>
  </si>
  <si>
    <t>Failed</t>
  </si>
  <si>
    <t>1080p (%)</t>
  </si>
  <si>
    <t>-</t>
  </si>
  <si>
    <t>FTP DL</t>
  </si>
  <si>
    <t>Average  Download Speed (Mbps)</t>
  </si>
  <si>
    <t>Minimum  Download Speed (Mbps)</t>
  </si>
  <si>
    <t>Maximum  Download Speed (Mbps)</t>
  </si>
  <si>
    <t>Rank Download Speed (Mbps)</t>
  </si>
  <si>
    <t>FTP UL</t>
  </si>
  <si>
    <t>Minimum Upload Speed (Mbps)</t>
  </si>
  <si>
    <t>Maximum Upload Speed (Mbps)</t>
  </si>
  <si>
    <t>Rank Upload Speed (Mbps)</t>
  </si>
  <si>
    <t>Average Browsing Speed (Mbps)</t>
  </si>
  <si>
    <t>Minimum Throughput (Mbps)</t>
  </si>
  <si>
    <t>Maximum Throughput (Mbps)</t>
  </si>
  <si>
    <t>Rank Browsing Speed (Mbps)</t>
  </si>
  <si>
    <t>FTP Download Success Rate</t>
  </si>
  <si>
    <t>FTP Upload Success Rate</t>
  </si>
  <si>
    <t>Capacity DL</t>
  </si>
  <si>
    <t>Average Throughput (Mbps)</t>
  </si>
  <si>
    <t>Rank Download Throughput (Mbps)</t>
  </si>
  <si>
    <t>Capacity UL</t>
  </si>
  <si>
    <t>Rank Upload Throughput (Mbps)</t>
  </si>
  <si>
    <t>Browsing Success Rate</t>
  </si>
  <si>
    <t>Capacity DL Success Rate</t>
  </si>
  <si>
    <t>Capacity UL Success Rate</t>
  </si>
  <si>
    <t>Speedest</t>
  </si>
  <si>
    <t>Speedest Success Rate</t>
  </si>
  <si>
    <t>Ping Test</t>
  </si>
  <si>
    <t>Packet Loss (%)</t>
  </si>
  <si>
    <t>Average Delay (ms)</t>
  </si>
  <si>
    <t>Jumlah SMS Terkirim</t>
  </si>
  <si>
    <t>Jumlah SMS Diterima Dalam &lt; 1 Menit</t>
  </si>
  <si>
    <t>Persentase SMS Diterima Dalam &lt; 1 Menit</t>
  </si>
  <si>
    <t>Call Attempts</t>
  </si>
  <si>
    <t>Blocked Call</t>
  </si>
  <si>
    <t>Total Sample</t>
  </si>
  <si>
    <t>Minimum Download Speed (Mbps)</t>
  </si>
  <si>
    <t>Maximum Download Speed (Mbps)</t>
  </si>
  <si>
    <t>Minimum Upload Speed Throughput (Mbps)</t>
  </si>
  <si>
    <t>Maximum Upload Speed Throughput (Mbps)</t>
  </si>
  <si>
    <t>Average Duration Send (s)</t>
  </si>
  <si>
    <t>Message Send Success (%)</t>
  </si>
  <si>
    <t>2G</t>
  </si>
  <si>
    <t>3G</t>
  </si>
  <si>
    <t>4G</t>
  </si>
  <si>
    <t>Bad Signal Strength Samples</t>
  </si>
  <si>
    <t>Total Signal Strength Sample</t>
  </si>
  <si>
    <t>Bad Signal Strength Percentage (%)</t>
  </si>
  <si>
    <t>Bad Signal Quality Samples</t>
  </si>
  <si>
    <t>Total Signal Quality Sample</t>
  </si>
  <si>
    <t>Bad Signal Quality Percentage (%)</t>
  </si>
  <si>
    <t>114p (%)</t>
  </si>
  <si>
    <t>INPUT PATH FOLDER AUTOMSQOS:</t>
  </si>
  <si>
    <t>D:\Hashfi\Work\Project\automsqos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</si>
</sst>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_(* #,##0.00_);_(* \(#,##0.00\);_(* &quot;-&quot;??_);_(@_)"/>
  </numFmts>
  <fonts count="27" x14ac:knownFonts="1">
    <font>
      <sz val="11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theme="1"/>
      <name val="Arial"/>
      <family val="2"/>
    </font>
    <font>
      <sz val="10"/>
      <color theme="1"/>
      <name val="Tahoma"/>
      <family val="2"/>
    </font>
    <font>
      <sz val="10"/>
      <name val="Arial"/>
      <family val="2"/>
    </font>
    <font>
      <sz val="10"/>
      <name val="Tahoma"/>
      <family val="2"/>
    </font>
    <font>
      <b/>
      <sz val="10"/>
      <color rgb="FF0098E8"/>
      <name val="Tahoma"/>
      <family val="2"/>
    </font>
    <font>
      <b/>
      <sz val="8"/>
      <name val="Trebuchet MS"/>
      <family val="2"/>
    </font>
    <font>
      <b/>
      <sz val="8"/>
      <color rgb="FF000000"/>
      <name val="Trebuchet MS"/>
      <family val="2"/>
    </font>
    <font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sz val="8"/>
      <color rgb="FF000000"/>
      <name val="Trebuchet MS"/>
      <family val="2"/>
    </font>
    <font>
      <b/>
      <sz val="8"/>
      <color rgb="FFFFFFFF"/>
      <name val="Trebuchet MS"/>
      <family val="2"/>
    </font>
    <font>
      <sz val="8"/>
      <name val="Trebuchet MS"/>
      <family val="2"/>
    </font>
    <font>
      <b/>
      <i/>
      <sz val="8"/>
      <name val="Trebuchet MS"/>
      <family val="2"/>
    </font>
    <font>
      <b/>
      <i/>
      <sz val="8"/>
      <color rgb="FF000000"/>
      <name val="Trebuchet MS"/>
      <family val="2"/>
    </font>
    <font>
      <b/>
      <i/>
      <sz val="9"/>
      <name val="Arial"/>
      <family val="2"/>
    </font>
    <font>
      <b/>
      <sz val="8"/>
      <color theme="0"/>
      <name val="Trebuchet MS"/>
      <family val="2"/>
    </font>
    <font>
      <sz val="11"/>
      <color rgb="FF000000"/>
      <name val="Arial"/>
      <family val="2"/>
    </font>
    <font>
      <b/>
      <sz val="11"/>
      <color theme="1"/>
      <name val="Arial"/>
      <family val="2"/>
    </font>
  </fonts>
  <fills count="32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B93A2"/>
        <bgColor rgb="FFFB93A2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DE0E3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D9D9D9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3">
    <xf numFmtId="0" fontId="0" fillId="0" borderId="0"/>
    <xf numFmtId="0" fontId="5" fillId="0" borderId="0"/>
    <xf numFmtId="16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10" fillId="0" borderId="0"/>
    <xf numFmtId="0" fontId="11" fillId="0" borderId="0"/>
    <xf numFmtId="0" fontId="11" fillId="0" borderId="0"/>
    <xf numFmtId="0" fontId="12" fillId="0" borderId="0"/>
    <xf numFmtId="0" fontId="12" fillId="0" borderId="0"/>
    <xf numFmtId="0" fontId="12" fillId="0" borderId="0"/>
    <xf numFmtId="0" fontId="10" fillId="0" borderId="0"/>
    <xf numFmtId="0" fontId="10" fillId="0" borderId="0"/>
    <xf numFmtId="0" fontId="13" fillId="15" borderId="0">
      <alignment vertical="center"/>
    </xf>
  </cellStyleXfs>
  <cellXfs count="256">
    <xf numFmtId="0" fontId="0" fillId="0" borderId="0" xfId="0"/>
    <xf numFmtId="0" fontId="6" fillId="2" borderId="1" xfId="1" applyFont="1" applyFill="1" applyBorder="1" applyAlignment="1">
      <alignment horizontal="center" vertical="center" wrapText="1"/>
    </xf>
    <xf numFmtId="0" fontId="7" fillId="3" borderId="1" xfId="1" applyFont="1" applyFill="1" applyBorder="1" applyAlignment="1">
      <alignment horizontal="center" vertical="center"/>
    </xf>
    <xf numFmtId="0" fontId="8" fillId="4" borderId="1" xfId="1" applyFont="1" applyFill="1" applyBorder="1" applyAlignment="1">
      <alignment horizontal="center" vertical="center"/>
    </xf>
    <xf numFmtId="0" fontId="8" fillId="5" borderId="1" xfId="1" applyFont="1" applyFill="1" applyBorder="1" applyAlignment="1">
      <alignment horizontal="center" vertical="center"/>
    </xf>
    <xf numFmtId="0" fontId="8" fillId="6" borderId="1" xfId="1" applyFont="1" applyFill="1" applyBorder="1" applyAlignment="1">
      <alignment horizontal="center" vertical="center"/>
    </xf>
    <xf numFmtId="0" fontId="8" fillId="7" borderId="1" xfId="1" applyFont="1" applyFill="1" applyBorder="1" applyAlignment="1">
      <alignment horizontal="center" vertical="center"/>
    </xf>
    <xf numFmtId="0" fontId="5" fillId="13" borderId="1" xfId="1" applyFill="1" applyBorder="1"/>
    <xf numFmtId="2" fontId="5" fillId="13" borderId="1" xfId="1" applyNumberFormat="1" applyFill="1" applyBorder="1" applyAlignment="1">
      <alignment horizontal="center" vertical="center"/>
    </xf>
    <xf numFmtId="0" fontId="0" fillId="0" borderId="1" xfId="0" applyBorder="1"/>
    <xf numFmtId="49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  <xf numFmtId="2" fontId="0" fillId="0" borderId="0" xfId="0" applyNumberFormat="1"/>
    <xf numFmtId="2" fontId="0" fillId="0" borderId="1" xfId="0" applyNumberFormat="1" applyBorder="1"/>
    <xf numFmtId="0" fontId="4" fillId="17" borderId="1" xfId="1" applyFont="1" applyFill="1" applyBorder="1"/>
    <xf numFmtId="2" fontId="4" fillId="17" borderId="1" xfId="1" applyNumberFormat="1" applyFont="1" applyFill="1" applyBorder="1" applyAlignment="1">
      <alignment horizontal="center" vertical="center"/>
    </xf>
    <xf numFmtId="2" fontId="4" fillId="8" borderId="1" xfId="1" applyNumberFormat="1" applyFont="1" applyFill="1" applyBorder="1" applyAlignment="1">
      <alignment horizontal="center" vertical="center"/>
    </xf>
    <xf numFmtId="0" fontId="16" fillId="16" borderId="9" xfId="0" applyFont="1" applyFill="1" applyBorder="1" applyAlignment="1">
      <alignment horizontal="left" wrapText="1" readingOrder="1"/>
    </xf>
    <xf numFmtId="2" fontId="16" fillId="16" borderId="9" xfId="0" applyNumberFormat="1" applyFont="1" applyFill="1" applyBorder="1" applyAlignment="1">
      <alignment horizontal="center" vertical="center" wrapText="1" readingOrder="1"/>
    </xf>
    <xf numFmtId="0" fontId="16" fillId="18" borderId="9" xfId="0" applyFont="1" applyFill="1" applyBorder="1" applyAlignment="1">
      <alignment horizontal="left" wrapText="1" readingOrder="1"/>
    </xf>
    <xf numFmtId="2" fontId="16" fillId="18" borderId="9" xfId="0" applyNumberFormat="1" applyFont="1" applyFill="1" applyBorder="1" applyAlignment="1">
      <alignment horizontal="center" vertical="center" wrapText="1" readingOrder="1"/>
    </xf>
    <xf numFmtId="0" fontId="17" fillId="19" borderId="1" xfId="0" applyFont="1" applyFill="1" applyBorder="1"/>
    <xf numFmtId="2" fontId="17" fillId="19" borderId="1" xfId="0" applyNumberFormat="1" applyFont="1" applyFill="1" applyBorder="1" applyAlignment="1">
      <alignment horizontal="center" vertical="center"/>
    </xf>
    <xf numFmtId="0" fontId="17" fillId="7" borderId="1" xfId="0" applyFont="1" applyFill="1" applyBorder="1"/>
    <xf numFmtId="0" fontId="16" fillId="20" borderId="9" xfId="0" applyFont="1" applyFill="1" applyBorder="1" applyAlignment="1">
      <alignment horizontal="left" wrapText="1" readingOrder="1"/>
    </xf>
    <xf numFmtId="0" fontId="4" fillId="14" borderId="1" xfId="1" applyFont="1" applyFill="1" applyBorder="1"/>
    <xf numFmtId="2" fontId="4" fillId="14" borderId="1" xfId="2" applyNumberFormat="1" applyFont="1" applyFill="1" applyBorder="1" applyAlignment="1">
      <alignment horizontal="center" vertical="center"/>
    </xf>
    <xf numFmtId="2" fontId="4" fillId="14" borderId="1" xfId="1" applyNumberFormat="1" applyFont="1" applyFill="1" applyBorder="1" applyAlignment="1">
      <alignment horizontal="center" vertical="center"/>
    </xf>
    <xf numFmtId="0" fontId="16" fillId="21" borderId="9" xfId="0" applyFont="1" applyFill="1" applyBorder="1" applyAlignment="1">
      <alignment horizontal="left" wrapText="1" readingOrder="1"/>
    </xf>
    <xf numFmtId="2" fontId="16" fillId="21" borderId="9" xfId="0" applyNumberFormat="1" applyFont="1" applyFill="1" applyBorder="1" applyAlignment="1">
      <alignment horizontal="center" vertical="center" wrapText="1" readingOrder="1"/>
    </xf>
    <xf numFmtId="0" fontId="4" fillId="10" borderId="1" xfId="1" applyFont="1" applyFill="1" applyBorder="1"/>
    <xf numFmtId="2" fontId="4" fillId="10" borderId="1" xfId="1" applyNumberFormat="1" applyFont="1" applyFill="1" applyBorder="1" applyAlignment="1">
      <alignment horizontal="center" vertical="center"/>
    </xf>
    <xf numFmtId="2" fontId="4" fillId="11" borderId="1" xfId="1" applyNumberFormat="1" applyFont="1" applyFill="1" applyBorder="1"/>
    <xf numFmtId="2" fontId="4" fillId="12" borderId="1" xfId="1" applyNumberFormat="1" applyFont="1" applyFill="1" applyBorder="1" applyAlignment="1">
      <alignment horizontal="center"/>
    </xf>
    <xf numFmtId="0" fontId="16" fillId="22" borderId="9" xfId="0" applyFont="1" applyFill="1" applyBorder="1" applyAlignment="1">
      <alignment horizontal="left" wrapText="1" readingOrder="1"/>
    </xf>
    <xf numFmtId="0" fontId="16" fillId="22" borderId="9" xfId="0" applyFont="1" applyFill="1" applyBorder="1" applyAlignment="1">
      <alignment horizontal="center" vertical="center" wrapText="1" readingOrder="1"/>
    </xf>
    <xf numFmtId="2" fontId="4" fillId="9" borderId="1" xfId="1" applyNumberFormat="1" applyFont="1" applyFill="1" applyBorder="1"/>
    <xf numFmtId="2" fontId="4" fillId="9" borderId="1" xfId="1" applyNumberFormat="1" applyFont="1" applyFill="1" applyBorder="1" applyAlignment="1">
      <alignment horizontal="center"/>
    </xf>
    <xf numFmtId="0" fontId="16" fillId="23" borderId="15" xfId="0" applyFont="1" applyFill="1" applyBorder="1" applyAlignment="1">
      <alignment horizontal="left" wrapText="1" readingOrder="1"/>
    </xf>
    <xf numFmtId="0" fontId="16" fillId="23" borderId="9" xfId="0" applyFont="1" applyFill="1" applyBorder="1" applyAlignment="1">
      <alignment horizontal="center" vertical="center" wrapText="1" readingOrder="1"/>
    </xf>
    <xf numFmtId="2" fontId="16" fillId="23" borderId="9" xfId="0" applyNumberFormat="1" applyFont="1" applyFill="1" applyBorder="1" applyAlignment="1">
      <alignment horizontal="center" vertical="center" wrapText="1" readingOrder="1"/>
    </xf>
    <xf numFmtId="2" fontId="4" fillId="8" borderId="16" xfId="1" applyNumberFormat="1" applyFont="1" applyFill="1" applyBorder="1"/>
    <xf numFmtId="0" fontId="19" fillId="24" borderId="9" xfId="0" applyFont="1" applyFill="1" applyBorder="1" applyAlignment="1">
      <alignment horizontal="center" vertical="center" wrapText="1" readingOrder="1"/>
    </xf>
    <xf numFmtId="0" fontId="15" fillId="4" borderId="9" xfId="0" applyFont="1" applyFill="1" applyBorder="1" applyAlignment="1">
      <alignment horizontal="center" vertical="center" wrapText="1" readingOrder="1"/>
    </xf>
    <xf numFmtId="0" fontId="15" fillId="6" borderId="9" xfId="0" applyFont="1" applyFill="1" applyBorder="1" applyAlignment="1">
      <alignment horizontal="center" vertical="center" wrapText="1" readingOrder="1"/>
    </xf>
    <xf numFmtId="0" fontId="15" fillId="5" borderId="9" xfId="0" applyFont="1" applyFill="1" applyBorder="1" applyAlignment="1">
      <alignment horizontal="center" vertical="center" wrapText="1" readingOrder="1"/>
    </xf>
    <xf numFmtId="0" fontId="15" fillId="7" borderId="9" xfId="0" applyFont="1" applyFill="1" applyBorder="1" applyAlignment="1">
      <alignment horizontal="center" vertical="center" wrapText="1" readingOrder="1"/>
    </xf>
    <xf numFmtId="0" fontId="18" fillId="22" borderId="9" xfId="0" applyFont="1" applyFill="1" applyBorder="1" applyAlignment="1">
      <alignment horizontal="left" wrapText="1" readingOrder="1"/>
    </xf>
    <xf numFmtId="0" fontId="18" fillId="22" borderId="9" xfId="0" applyFont="1" applyFill="1" applyBorder="1" applyAlignment="1">
      <alignment horizontal="center" vertical="center" wrapText="1" readingOrder="1"/>
    </xf>
    <xf numFmtId="0" fontId="18" fillId="23" borderId="9" xfId="0" applyFont="1" applyFill="1" applyBorder="1" applyAlignment="1">
      <alignment horizontal="left" wrapText="1" readingOrder="1"/>
    </xf>
    <xf numFmtId="0" fontId="18" fillId="23" borderId="9" xfId="0" applyFont="1" applyFill="1" applyBorder="1" applyAlignment="1">
      <alignment horizontal="center" vertical="center" wrapText="1" readingOrder="1"/>
    </xf>
    <xf numFmtId="2" fontId="18" fillId="23" borderId="9" xfId="0" applyNumberFormat="1" applyFont="1" applyFill="1" applyBorder="1" applyAlignment="1">
      <alignment horizontal="center" vertical="center" wrapText="1" readingOrder="1"/>
    </xf>
    <xf numFmtId="0" fontId="20" fillId="25" borderId="1" xfId="0" applyFont="1" applyFill="1" applyBorder="1" applyAlignment="1">
      <alignment wrapText="1"/>
    </xf>
    <xf numFmtId="2" fontId="20" fillId="25" borderId="1" xfId="0" applyNumberFormat="1" applyFont="1" applyFill="1" applyBorder="1" applyAlignment="1">
      <alignment horizontal="center" vertical="center" wrapText="1"/>
    </xf>
    <xf numFmtId="0" fontId="21" fillId="25" borderId="1" xfId="0" applyFont="1" applyFill="1" applyBorder="1" applyAlignment="1">
      <alignment wrapText="1"/>
    </xf>
    <xf numFmtId="0" fontId="21" fillId="25" borderId="1" xfId="0" applyFont="1" applyFill="1" applyBorder="1" applyAlignment="1">
      <alignment horizontal="center" vertical="center" wrapText="1"/>
    </xf>
    <xf numFmtId="0" fontId="18" fillId="16" borderId="9" xfId="0" applyFont="1" applyFill="1" applyBorder="1" applyAlignment="1">
      <alignment horizontal="left" wrapText="1"/>
    </xf>
    <xf numFmtId="2" fontId="18" fillId="16" borderId="9" xfId="0" applyNumberFormat="1" applyFont="1" applyFill="1" applyBorder="1" applyAlignment="1">
      <alignment horizontal="center" vertical="center" wrapText="1"/>
    </xf>
    <xf numFmtId="0" fontId="22" fillId="16" borderId="9" xfId="0" applyFont="1" applyFill="1" applyBorder="1" applyAlignment="1">
      <alignment horizontal="left" wrapText="1"/>
    </xf>
    <xf numFmtId="0" fontId="22" fillId="16" borderId="9" xfId="0" applyFont="1" applyFill="1" applyBorder="1" applyAlignment="1">
      <alignment horizontal="center" wrapText="1"/>
    </xf>
    <xf numFmtId="0" fontId="18" fillId="18" borderId="9" xfId="0" applyFont="1" applyFill="1" applyBorder="1" applyAlignment="1">
      <alignment horizontal="left" wrapText="1"/>
    </xf>
    <xf numFmtId="2" fontId="18" fillId="18" borderId="9" xfId="0" applyNumberFormat="1" applyFont="1" applyFill="1" applyBorder="1" applyAlignment="1">
      <alignment horizontal="center" vertical="center" wrapText="1"/>
    </xf>
    <xf numFmtId="0" fontId="22" fillId="18" borderId="9" xfId="0" applyFont="1" applyFill="1" applyBorder="1" applyAlignment="1">
      <alignment horizontal="left" wrapText="1"/>
    </xf>
    <xf numFmtId="0" fontId="22" fillId="18" borderId="9" xfId="0" applyFont="1" applyFill="1" applyBorder="1" applyAlignment="1">
      <alignment horizontal="center" vertical="center" wrapText="1"/>
    </xf>
    <xf numFmtId="0" fontId="20" fillId="19" borderId="1" xfId="0" applyFont="1" applyFill="1" applyBorder="1" applyAlignment="1">
      <alignment wrapText="1"/>
    </xf>
    <xf numFmtId="2" fontId="20" fillId="19" borderId="1" xfId="0" applyNumberFormat="1" applyFont="1" applyFill="1" applyBorder="1" applyAlignment="1">
      <alignment horizontal="center" vertical="center" wrapText="1"/>
    </xf>
    <xf numFmtId="0" fontId="21" fillId="19" borderId="1" xfId="0" applyFont="1" applyFill="1" applyBorder="1" applyAlignment="1">
      <alignment wrapText="1"/>
    </xf>
    <xf numFmtId="0" fontId="23" fillId="19" borderId="1" xfId="0" applyFont="1" applyFill="1" applyBorder="1" applyAlignment="1">
      <alignment horizontal="center" vertical="center" wrapText="1"/>
    </xf>
    <xf numFmtId="0" fontId="20" fillId="7" borderId="1" xfId="0" applyFont="1" applyFill="1" applyBorder="1" applyAlignment="1">
      <alignment wrapText="1"/>
    </xf>
    <xf numFmtId="0" fontId="21" fillId="7" borderId="1" xfId="0" applyFont="1" applyFill="1" applyBorder="1" applyAlignment="1">
      <alignment wrapText="1"/>
    </xf>
    <xf numFmtId="0" fontId="23" fillId="7" borderId="1" xfId="0" applyFont="1" applyFill="1" applyBorder="1" applyAlignment="1">
      <alignment horizontal="center" vertical="center" wrapText="1"/>
    </xf>
    <xf numFmtId="0" fontId="18" fillId="20" borderId="9" xfId="0" applyFont="1" applyFill="1" applyBorder="1" applyAlignment="1">
      <alignment horizontal="left" wrapText="1"/>
    </xf>
    <xf numFmtId="0" fontId="22" fillId="20" borderId="9" xfId="0" applyFont="1" applyFill="1" applyBorder="1" applyAlignment="1">
      <alignment horizontal="left" wrapText="1"/>
    </xf>
    <xf numFmtId="0" fontId="22" fillId="20" borderId="9" xfId="0" applyFont="1" applyFill="1" applyBorder="1" applyAlignment="1">
      <alignment horizontal="center" vertical="center" wrapText="1"/>
    </xf>
    <xf numFmtId="0" fontId="18" fillId="21" borderId="9" xfId="0" applyFont="1" applyFill="1" applyBorder="1" applyAlignment="1">
      <alignment horizontal="left" wrapText="1"/>
    </xf>
    <xf numFmtId="2" fontId="18" fillId="21" borderId="9" xfId="0" applyNumberFormat="1" applyFont="1" applyFill="1" applyBorder="1" applyAlignment="1">
      <alignment horizontal="center" vertical="center" wrapText="1"/>
    </xf>
    <xf numFmtId="0" fontId="15" fillId="26" borderId="19" xfId="0" applyFont="1" applyFill="1" applyBorder="1" applyAlignment="1">
      <alignment horizontal="center" vertical="center" wrapText="1"/>
    </xf>
    <xf numFmtId="0" fontId="18" fillId="26" borderId="9" xfId="0" applyFont="1" applyFill="1" applyBorder="1" applyAlignment="1">
      <alignment horizontal="left" wrapText="1"/>
    </xf>
    <xf numFmtId="2" fontId="18" fillId="26" borderId="9" xfId="0" applyNumberFormat="1" applyFont="1" applyFill="1" applyBorder="1" applyAlignment="1">
      <alignment horizontal="center" wrapText="1"/>
    </xf>
    <xf numFmtId="0" fontId="18" fillId="27" borderId="9" xfId="0" applyFont="1" applyFill="1" applyBorder="1" applyAlignment="1">
      <alignment horizontal="left" wrapText="1"/>
    </xf>
    <xf numFmtId="2" fontId="18" fillId="27" borderId="9" xfId="0" applyNumberFormat="1" applyFont="1" applyFill="1" applyBorder="1" applyAlignment="1">
      <alignment horizontal="center" vertical="center" wrapText="1"/>
    </xf>
    <xf numFmtId="0" fontId="18" fillId="27" borderId="9" xfId="0" applyFont="1" applyFill="1" applyBorder="1" applyAlignment="1">
      <alignment horizontal="left" vertical="center" wrapText="1"/>
    </xf>
    <xf numFmtId="0" fontId="18" fillId="28" borderId="9" xfId="0" applyFont="1" applyFill="1" applyBorder="1" applyAlignment="1">
      <alignment horizontal="left" wrapText="1"/>
    </xf>
    <xf numFmtId="0" fontId="15" fillId="7" borderId="17" xfId="0" applyFont="1" applyFill="1" applyBorder="1" applyAlignment="1">
      <alignment horizontal="center" vertical="center" wrapText="1" readingOrder="1"/>
    </xf>
    <xf numFmtId="0" fontId="18" fillId="30" borderId="9" xfId="0" applyFont="1" applyFill="1" applyBorder="1" applyAlignment="1">
      <alignment horizontal="left" wrapText="1" readingOrder="1"/>
    </xf>
    <xf numFmtId="0" fontId="18" fillId="30" borderId="9" xfId="0" applyFont="1" applyFill="1" applyBorder="1" applyAlignment="1">
      <alignment horizontal="center" wrapText="1" readingOrder="1"/>
    </xf>
    <xf numFmtId="2" fontId="18" fillId="30" borderId="9" xfId="0" applyNumberFormat="1" applyFont="1" applyFill="1" applyBorder="1" applyAlignment="1">
      <alignment horizontal="center" wrapText="1" readingOrder="1"/>
    </xf>
    <xf numFmtId="0" fontId="18" fillId="31" borderId="9" xfId="0" applyFont="1" applyFill="1" applyBorder="1" applyAlignment="1">
      <alignment horizontal="left" wrapText="1" readingOrder="1"/>
    </xf>
    <xf numFmtId="0" fontId="18" fillId="31" borderId="9" xfId="0" applyFont="1" applyFill="1" applyBorder="1" applyAlignment="1">
      <alignment horizontal="center" wrapText="1" readingOrder="1"/>
    </xf>
    <xf numFmtId="2" fontId="18" fillId="31" borderId="9" xfId="0" applyNumberFormat="1" applyFont="1" applyFill="1" applyBorder="1" applyAlignment="1">
      <alignment horizontal="center" wrapText="1" readingOrder="1"/>
    </xf>
    <xf numFmtId="2" fontId="18" fillId="28" borderId="9" xfId="0" applyNumberFormat="1" applyFont="1" applyFill="1" applyBorder="1" applyAlignment="1">
      <alignment horizontal="center" wrapText="1"/>
    </xf>
    <xf numFmtId="0" fontId="24" fillId="29" borderId="9" xfId="0" applyFont="1" applyFill="1" applyBorder="1" applyAlignment="1">
      <alignment horizontal="center" vertical="center" wrapText="1" readingOrder="1"/>
    </xf>
    <xf numFmtId="2" fontId="17" fillId="7" borderId="1" xfId="0" applyNumberFormat="1" applyFont="1" applyFill="1" applyBorder="1" applyAlignment="1">
      <alignment horizontal="center" vertical="center"/>
    </xf>
    <xf numFmtId="2" fontId="16" fillId="20" borderId="9" xfId="0" applyNumberFormat="1" applyFont="1" applyFill="1" applyBorder="1" applyAlignment="1">
      <alignment horizontal="center" vertical="center" wrapText="1" readingOrder="1"/>
    </xf>
    <xf numFmtId="0" fontId="3" fillId="14" borderId="1" xfId="1" applyFont="1" applyFill="1" applyBorder="1"/>
    <xf numFmtId="2" fontId="18" fillId="20" borderId="9" xfId="0" applyNumberFormat="1" applyFont="1" applyFill="1" applyBorder="1" applyAlignment="1">
      <alignment horizontal="center" vertical="center" wrapText="1"/>
    </xf>
    <xf numFmtId="2" fontId="20" fillId="7" borderId="1" xfId="0" applyNumberFormat="1" applyFont="1" applyFill="1" applyBorder="1" applyAlignment="1">
      <alignment horizontal="center" vertical="center" wrapText="1"/>
    </xf>
    <xf numFmtId="2" fontId="1" fillId="12" borderId="1" xfId="1" applyNumberFormat="1" applyFont="1" applyFill="1" applyBorder="1" applyAlignment="1">
      <alignment horizontal="center"/>
    </xf>
    <xf numFmtId="0" fontId="26" fillId="0" borderId="0" xfId="0" applyFont="1" applyAlignment="1">
      <alignment vertical="center"/>
    </xf>
    <xf numFmtId="0" fontId="0" fillId="0" borderId="0" xfId="0" applyAlignment="1">
      <alignment vertical="center"/>
    </xf>
    <xf numFmtId="0" fontId="7" fillId="0" borderId="0" xfId="1" applyFont="1" applyAlignment="1">
      <alignment horizontal="center" vertical="center"/>
    </xf>
    <xf numFmtId="2" fontId="5" fillId="13" borderId="29" xfId="1" applyNumberFormat="1" applyFill="1" applyBorder="1" applyAlignment="1">
      <alignment horizontal="center" vertical="center"/>
    </xf>
    <xf numFmtId="2" fontId="4" fillId="17" borderId="29" xfId="1" applyNumberFormat="1" applyFont="1" applyFill="1" applyBorder="1" applyAlignment="1">
      <alignment horizontal="center" vertical="center"/>
    </xf>
    <xf numFmtId="2" fontId="16" fillId="16" borderId="23" xfId="0" applyNumberFormat="1" applyFont="1" applyFill="1" applyBorder="1" applyAlignment="1">
      <alignment horizontal="center" vertical="center" wrapText="1" readingOrder="1"/>
    </xf>
    <xf numFmtId="2" fontId="16" fillId="18" borderId="23" xfId="0" applyNumberFormat="1" applyFont="1" applyFill="1" applyBorder="1" applyAlignment="1">
      <alignment horizontal="center" vertical="center" wrapText="1" readingOrder="1"/>
    </xf>
    <xf numFmtId="2" fontId="17" fillId="19" borderId="29" xfId="0" applyNumberFormat="1" applyFont="1" applyFill="1" applyBorder="1" applyAlignment="1">
      <alignment horizontal="center" vertical="center"/>
    </xf>
    <xf numFmtId="2" fontId="17" fillId="7" borderId="29" xfId="0" applyNumberFormat="1" applyFont="1" applyFill="1" applyBorder="1" applyAlignment="1">
      <alignment horizontal="center" vertical="center"/>
    </xf>
    <xf numFmtId="2" fontId="16" fillId="20" borderId="23" xfId="0" applyNumberFormat="1" applyFont="1" applyFill="1" applyBorder="1" applyAlignment="1">
      <alignment horizontal="center" vertical="center" wrapText="1" readingOrder="1"/>
    </xf>
    <xf numFmtId="2" fontId="4" fillId="14" borderId="29" xfId="2" applyNumberFormat="1" applyFont="1" applyFill="1" applyBorder="1" applyAlignment="1">
      <alignment horizontal="center" vertical="center"/>
    </xf>
    <xf numFmtId="2" fontId="4" fillId="14" borderId="29" xfId="1" applyNumberFormat="1" applyFont="1" applyFill="1" applyBorder="1" applyAlignment="1">
      <alignment horizontal="center" vertical="center"/>
    </xf>
    <xf numFmtId="2" fontId="16" fillId="21" borderId="23" xfId="0" applyNumberFormat="1" applyFont="1" applyFill="1" applyBorder="1" applyAlignment="1">
      <alignment horizontal="center" vertical="center" wrapText="1" readingOrder="1"/>
    </xf>
    <xf numFmtId="2" fontId="4" fillId="10" borderId="29" xfId="1" applyNumberFormat="1" applyFont="1" applyFill="1" applyBorder="1" applyAlignment="1">
      <alignment horizontal="center" vertical="center"/>
    </xf>
    <xf numFmtId="2" fontId="4" fillId="12" borderId="29" xfId="1" applyNumberFormat="1" applyFont="1" applyFill="1" applyBorder="1" applyAlignment="1">
      <alignment horizontal="center"/>
    </xf>
    <xf numFmtId="2" fontId="1" fillId="12" borderId="29" xfId="1" applyNumberFormat="1" applyFont="1" applyFill="1" applyBorder="1" applyAlignment="1">
      <alignment horizontal="center"/>
    </xf>
    <xf numFmtId="0" fontId="16" fillId="22" borderId="23" xfId="0" applyFont="1" applyFill="1" applyBorder="1" applyAlignment="1">
      <alignment horizontal="center" vertical="center" wrapText="1" readingOrder="1"/>
    </xf>
    <xf numFmtId="2" fontId="4" fillId="9" borderId="29" xfId="1" applyNumberFormat="1" applyFont="1" applyFill="1" applyBorder="1" applyAlignment="1">
      <alignment horizontal="center"/>
    </xf>
    <xf numFmtId="0" fontId="16" fillId="23" borderId="23" xfId="0" applyFont="1" applyFill="1" applyBorder="1" applyAlignment="1">
      <alignment horizontal="center" vertical="center" wrapText="1" readingOrder="1"/>
    </xf>
    <xf numFmtId="2" fontId="16" fillId="23" borderId="23" xfId="0" applyNumberFormat="1" applyFont="1" applyFill="1" applyBorder="1" applyAlignment="1">
      <alignment horizontal="center" vertical="center" wrapText="1" readingOrder="1"/>
    </xf>
    <xf numFmtId="2" fontId="3" fillId="0" borderId="0" xfId="1" applyNumberFormat="1" applyFont="1" applyAlignment="1">
      <alignment horizontal="center" vertical="center"/>
    </xf>
    <xf numFmtId="2" fontId="5" fillId="0" borderId="0" xfId="1" applyNumberFormat="1" applyAlignment="1">
      <alignment horizontal="center" vertical="center"/>
    </xf>
    <xf numFmtId="2" fontId="2" fillId="0" borderId="0" xfId="1" applyNumberFormat="1" applyFont="1" applyAlignment="1">
      <alignment horizontal="center" vertical="center"/>
    </xf>
    <xf numFmtId="2" fontId="4" fillId="0" borderId="0" xfId="1" applyNumberFormat="1" applyFont="1" applyAlignment="1">
      <alignment horizontal="center" vertical="center"/>
    </xf>
    <xf numFmtId="2" fontId="16" fillId="0" borderId="0" xfId="0" applyNumberFormat="1" applyFont="1" applyAlignment="1">
      <alignment horizontal="center" vertical="center" wrapText="1" readingOrder="1"/>
    </xf>
    <xf numFmtId="2" fontId="17" fillId="0" borderId="0" xfId="0" applyNumberFormat="1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 wrapText="1" readingOrder="1"/>
    </xf>
    <xf numFmtId="2" fontId="4" fillId="0" borderId="0" xfId="2" applyNumberFormat="1" applyFont="1" applyFill="1" applyBorder="1" applyAlignment="1">
      <alignment horizontal="center" vertical="center"/>
    </xf>
    <xf numFmtId="2" fontId="4" fillId="0" borderId="0" xfId="1" applyNumberFormat="1" applyFont="1" applyAlignment="1">
      <alignment horizontal="center"/>
    </xf>
    <xf numFmtId="2" fontId="1" fillId="0" borderId="0" xfId="1" applyNumberFormat="1" applyFont="1" applyAlignment="1">
      <alignment horizontal="center"/>
    </xf>
    <xf numFmtId="2" fontId="4" fillId="8" borderId="29" xfId="1" applyNumberFormat="1" applyFont="1" applyFill="1" applyBorder="1" applyAlignment="1">
      <alignment horizontal="center" vertical="center"/>
    </xf>
    <xf numFmtId="0" fontId="8" fillId="5" borderId="29" xfId="1" applyFont="1" applyFill="1" applyBorder="1" applyAlignment="1">
      <alignment horizontal="center" vertical="center"/>
    </xf>
    <xf numFmtId="2" fontId="16" fillId="16" borderId="1" xfId="0" applyNumberFormat="1" applyFont="1" applyFill="1" applyBorder="1" applyAlignment="1">
      <alignment horizontal="center" vertical="center" wrapText="1" readingOrder="1"/>
    </xf>
    <xf numFmtId="2" fontId="16" fillId="18" borderId="1" xfId="0" applyNumberFormat="1" applyFont="1" applyFill="1" applyBorder="1" applyAlignment="1">
      <alignment horizontal="center" vertical="center" wrapText="1" readingOrder="1"/>
    </xf>
    <xf numFmtId="2" fontId="16" fillId="20" borderId="1" xfId="0" applyNumberFormat="1" applyFont="1" applyFill="1" applyBorder="1" applyAlignment="1">
      <alignment horizontal="center" vertical="center" wrapText="1" readingOrder="1"/>
    </xf>
    <xf numFmtId="2" fontId="16" fillId="21" borderId="1" xfId="0" applyNumberFormat="1" applyFont="1" applyFill="1" applyBorder="1" applyAlignment="1">
      <alignment horizontal="center" vertical="center" wrapText="1" readingOrder="1"/>
    </xf>
    <xf numFmtId="0" fontId="16" fillId="22" borderId="1" xfId="0" applyFont="1" applyFill="1" applyBorder="1" applyAlignment="1">
      <alignment horizontal="center" vertical="center" wrapText="1" readingOrder="1"/>
    </xf>
    <xf numFmtId="0" fontId="16" fillId="23" borderId="1" xfId="0" applyFont="1" applyFill="1" applyBorder="1" applyAlignment="1">
      <alignment horizontal="center" vertical="center" wrapText="1" readingOrder="1"/>
    </xf>
    <xf numFmtId="2" fontId="16" fillId="23" borderId="1" xfId="0" applyNumberFormat="1" applyFont="1" applyFill="1" applyBorder="1" applyAlignment="1">
      <alignment horizontal="center" vertical="center" wrapText="1" readingOrder="1"/>
    </xf>
    <xf numFmtId="0" fontId="15" fillId="30" borderId="19" xfId="0" applyFont="1" applyFill="1" applyBorder="1" applyAlignment="1">
      <alignment horizontal="center" vertical="center" wrapText="1" readingOrder="1"/>
    </xf>
    <xf numFmtId="0" fontId="15" fillId="30" borderId="8" xfId="0" applyFont="1" applyFill="1" applyBorder="1" applyAlignment="1">
      <alignment horizontal="center" vertical="center" wrapText="1" readingOrder="1"/>
    </xf>
    <xf numFmtId="0" fontId="15" fillId="30" borderId="10" xfId="0" applyFont="1" applyFill="1" applyBorder="1" applyAlignment="1">
      <alignment horizontal="center" vertical="center" wrapText="1" readingOrder="1"/>
    </xf>
    <xf numFmtId="0" fontId="15" fillId="31" borderId="19" xfId="0" applyFont="1" applyFill="1" applyBorder="1" applyAlignment="1">
      <alignment horizontal="center" vertical="center" wrapText="1" readingOrder="1"/>
    </xf>
    <xf numFmtId="0" fontId="15" fillId="31" borderId="8" xfId="0" applyFont="1" applyFill="1" applyBorder="1" applyAlignment="1">
      <alignment horizontal="center" vertical="center" wrapText="1" readingOrder="1"/>
    </xf>
    <xf numFmtId="0" fontId="15" fillId="31" borderId="10" xfId="0" applyFont="1" applyFill="1" applyBorder="1" applyAlignment="1">
      <alignment horizontal="center" vertical="center" wrapText="1" readingOrder="1"/>
    </xf>
    <xf numFmtId="0" fontId="18" fillId="0" borderId="0" xfId="0" applyFont="1" applyAlignment="1">
      <alignment horizontal="center" wrapText="1" readingOrder="1"/>
    </xf>
    <xf numFmtId="0" fontId="18" fillId="0" borderId="13" xfId="0" applyFont="1" applyBorder="1" applyAlignment="1">
      <alignment horizontal="center" wrapText="1" readingOrder="1"/>
    </xf>
    <xf numFmtId="0" fontId="24" fillId="29" borderId="23" xfId="0" applyFont="1" applyFill="1" applyBorder="1" applyAlignment="1">
      <alignment horizontal="center" vertical="center" wrapText="1" readingOrder="1"/>
    </xf>
    <xf numFmtId="0" fontId="24" fillId="29" borderId="24" xfId="0" applyFont="1" applyFill="1" applyBorder="1" applyAlignment="1">
      <alignment horizontal="center" vertical="center" wrapText="1" readingOrder="1"/>
    </xf>
    <xf numFmtId="0" fontId="24" fillId="29" borderId="15" xfId="0" applyFont="1" applyFill="1" applyBorder="1" applyAlignment="1">
      <alignment horizontal="center" vertical="center" wrapText="1" readingOrder="1"/>
    </xf>
    <xf numFmtId="0" fontId="15" fillId="4" borderId="23" xfId="0" applyFont="1" applyFill="1" applyBorder="1" applyAlignment="1">
      <alignment horizontal="center" vertical="center" wrapText="1" readingOrder="1"/>
    </xf>
    <xf numFmtId="0" fontId="15" fillId="4" borderId="24" xfId="0" applyFont="1" applyFill="1" applyBorder="1" applyAlignment="1">
      <alignment horizontal="center" vertical="center" wrapText="1" readingOrder="1"/>
    </xf>
    <xf numFmtId="0" fontId="15" fillId="4" borderId="15" xfId="0" applyFont="1" applyFill="1" applyBorder="1" applyAlignment="1">
      <alignment horizontal="center" vertical="center" wrapText="1" readingOrder="1"/>
    </xf>
    <xf numFmtId="0" fontId="26" fillId="0" borderId="0" xfId="0" applyFont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15" fillId="6" borderId="23" xfId="0" applyFont="1" applyFill="1" applyBorder="1" applyAlignment="1">
      <alignment horizontal="center" vertical="center" wrapText="1" readingOrder="1"/>
    </xf>
    <xf numFmtId="0" fontId="15" fillId="6" borderId="24" xfId="0" applyFont="1" applyFill="1" applyBorder="1" applyAlignment="1">
      <alignment horizontal="center" vertical="center" wrapText="1" readingOrder="1"/>
    </xf>
    <xf numFmtId="0" fontId="15" fillId="6" borderId="15" xfId="0" applyFont="1" applyFill="1" applyBorder="1" applyAlignment="1">
      <alignment horizontal="center" vertical="center" wrapText="1" readingOrder="1"/>
    </xf>
    <xf numFmtId="0" fontId="15" fillId="5" borderId="23" xfId="0" applyFont="1" applyFill="1" applyBorder="1" applyAlignment="1">
      <alignment horizontal="center" vertical="center" wrapText="1" readingOrder="1"/>
    </xf>
    <xf numFmtId="0" fontId="15" fillId="5" borderId="24" xfId="0" applyFont="1" applyFill="1" applyBorder="1" applyAlignment="1">
      <alignment horizontal="center" vertical="center" wrapText="1" readingOrder="1"/>
    </xf>
    <xf numFmtId="0" fontId="15" fillId="5" borderId="15" xfId="0" applyFont="1" applyFill="1" applyBorder="1" applyAlignment="1">
      <alignment horizontal="center" vertical="center" wrapText="1" readingOrder="1"/>
    </xf>
    <xf numFmtId="0" fontId="15" fillId="7" borderId="17" xfId="0" applyFont="1" applyFill="1" applyBorder="1" applyAlignment="1">
      <alignment horizontal="center" vertical="center" wrapText="1" readingOrder="1"/>
    </xf>
    <xf numFmtId="0" fontId="15" fillId="7" borderId="11" xfId="0" applyFont="1" applyFill="1" applyBorder="1" applyAlignment="1">
      <alignment horizontal="center" vertical="center" wrapText="1" readingOrder="1"/>
    </xf>
    <xf numFmtId="0" fontId="15" fillId="7" borderId="14" xfId="0" applyFont="1" applyFill="1" applyBorder="1" applyAlignment="1">
      <alignment horizontal="center" vertical="center" wrapText="1" readingOrder="1"/>
    </xf>
    <xf numFmtId="0" fontId="15" fillId="28" borderId="19" xfId="0" applyFont="1" applyFill="1" applyBorder="1" applyAlignment="1">
      <alignment horizontal="center" vertical="center" wrapText="1"/>
    </xf>
    <xf numFmtId="0" fontId="15" fillId="28" borderId="10" xfId="0" applyFont="1" applyFill="1" applyBorder="1" applyAlignment="1">
      <alignment horizontal="center" vertical="center" wrapText="1"/>
    </xf>
    <xf numFmtId="0" fontId="18" fillId="0" borderId="11" xfId="0" applyFont="1" applyBorder="1" applyAlignment="1">
      <alignment horizontal="center" wrapText="1" readingOrder="1"/>
    </xf>
    <xf numFmtId="0" fontId="18" fillId="0" borderId="14" xfId="0" applyFont="1" applyBorder="1" applyAlignment="1">
      <alignment horizontal="center" wrapText="1" readingOrder="1"/>
    </xf>
    <xf numFmtId="0" fontId="14" fillId="25" borderId="18" xfId="0" applyFont="1" applyFill="1" applyBorder="1" applyAlignment="1">
      <alignment horizontal="center" vertical="center" wrapText="1"/>
    </xf>
    <xf numFmtId="0" fontId="14" fillId="25" borderId="20" xfId="0" applyFont="1" applyFill="1" applyBorder="1" applyAlignment="1">
      <alignment horizontal="center" vertical="center" wrapText="1"/>
    </xf>
    <xf numFmtId="0" fontId="15" fillId="22" borderId="19" xfId="0" applyFont="1" applyFill="1" applyBorder="1" applyAlignment="1">
      <alignment horizontal="center" vertical="center" wrapText="1" readingOrder="1"/>
    </xf>
    <xf numFmtId="0" fontId="15" fillId="22" borderId="8" xfId="0" applyFont="1" applyFill="1" applyBorder="1" applyAlignment="1">
      <alignment horizontal="center" vertical="center" wrapText="1" readingOrder="1"/>
    </xf>
    <xf numFmtId="0" fontId="15" fillId="23" borderId="19" xfId="0" applyFont="1" applyFill="1" applyBorder="1" applyAlignment="1">
      <alignment horizontal="center" vertical="center" wrapText="1" readingOrder="1"/>
    </xf>
    <xf numFmtId="0" fontId="15" fillId="23" borderId="8" xfId="0" applyFont="1" applyFill="1" applyBorder="1" applyAlignment="1">
      <alignment horizontal="center" vertical="center" wrapText="1" readingOrder="1"/>
    </xf>
    <xf numFmtId="0" fontId="15" fillId="23" borderId="21" xfId="0" applyFont="1" applyFill="1" applyBorder="1" applyAlignment="1">
      <alignment horizontal="center" vertical="center" wrapText="1" readingOrder="1"/>
    </xf>
    <xf numFmtId="0" fontId="15" fillId="16" borderId="8" xfId="0" applyFont="1" applyFill="1" applyBorder="1" applyAlignment="1">
      <alignment horizontal="center" vertical="center" wrapText="1"/>
    </xf>
    <xf numFmtId="0" fontId="15" fillId="16" borderId="10" xfId="0" applyFont="1" applyFill="1" applyBorder="1" applyAlignment="1">
      <alignment horizontal="center" vertical="center" wrapText="1"/>
    </xf>
    <xf numFmtId="0" fontId="15" fillId="18" borderId="8" xfId="0" applyFont="1" applyFill="1" applyBorder="1" applyAlignment="1">
      <alignment horizontal="center" vertical="center" wrapText="1"/>
    </xf>
    <xf numFmtId="0" fontId="15" fillId="18" borderId="10" xfId="0" applyFont="1" applyFill="1" applyBorder="1" applyAlignment="1">
      <alignment horizontal="center" vertical="center" wrapText="1"/>
    </xf>
    <xf numFmtId="0" fontId="14" fillId="19" borderId="18" xfId="0" applyFont="1" applyFill="1" applyBorder="1" applyAlignment="1">
      <alignment horizontal="center" vertical="center" wrapText="1"/>
    </xf>
    <xf numFmtId="0" fontId="14" fillId="19" borderId="20" xfId="0" applyFont="1" applyFill="1" applyBorder="1" applyAlignment="1">
      <alignment horizontal="center" vertical="center" wrapText="1"/>
    </xf>
    <xf numFmtId="0" fontId="14" fillId="7" borderId="22" xfId="0" applyFont="1" applyFill="1" applyBorder="1" applyAlignment="1">
      <alignment horizontal="center" vertical="center" wrapText="1"/>
    </xf>
    <xf numFmtId="0" fontId="14" fillId="7" borderId="17" xfId="0" applyFont="1" applyFill="1" applyBorder="1" applyAlignment="1">
      <alignment horizontal="center" vertical="center" wrapText="1"/>
    </xf>
    <xf numFmtId="0" fontId="15" fillId="20" borderId="22" xfId="0" applyFont="1" applyFill="1" applyBorder="1" applyAlignment="1">
      <alignment horizontal="center" vertical="center" wrapText="1"/>
    </xf>
    <xf numFmtId="0" fontId="15" fillId="20" borderId="17" xfId="0" applyFont="1" applyFill="1" applyBorder="1" applyAlignment="1">
      <alignment horizontal="center" vertical="center" wrapText="1"/>
    </xf>
    <xf numFmtId="0" fontId="15" fillId="21" borderId="8" xfId="0" applyFont="1" applyFill="1" applyBorder="1" applyAlignment="1">
      <alignment horizontal="center" vertical="center" wrapText="1"/>
    </xf>
    <xf numFmtId="0" fontId="15" fillId="21" borderId="10" xfId="0" applyFont="1" applyFill="1" applyBorder="1" applyAlignment="1">
      <alignment horizontal="center" vertical="center" wrapText="1"/>
    </xf>
    <xf numFmtId="0" fontId="15" fillId="27" borderId="19" xfId="0" applyFont="1" applyFill="1" applyBorder="1" applyAlignment="1">
      <alignment horizontal="center" vertical="center" wrapText="1"/>
    </xf>
    <xf numFmtId="0" fontId="15" fillId="27" borderId="8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8" fillId="13" borderId="2" xfId="1" applyFont="1" applyFill="1" applyBorder="1" applyAlignment="1">
      <alignment horizontal="center" vertical="center"/>
    </xf>
    <xf numFmtId="0" fontId="8" fillId="13" borderId="4" xfId="1" applyFont="1" applyFill="1" applyBorder="1" applyAlignment="1">
      <alignment horizontal="center" vertical="center"/>
    </xf>
    <xf numFmtId="0" fontId="8" fillId="13" borderId="3" xfId="1" applyFont="1" applyFill="1" applyBorder="1" applyAlignment="1">
      <alignment horizontal="center" vertical="center"/>
    </xf>
    <xf numFmtId="0" fontId="9" fillId="10" borderId="2" xfId="1" applyFont="1" applyFill="1" applyBorder="1" applyAlignment="1">
      <alignment horizontal="center" vertical="center" wrapText="1"/>
    </xf>
    <xf numFmtId="0" fontId="9" fillId="10" borderId="4" xfId="1" applyFont="1" applyFill="1" applyBorder="1" applyAlignment="1">
      <alignment horizontal="center" vertical="center" wrapText="1"/>
    </xf>
    <xf numFmtId="0" fontId="9" fillId="10" borderId="3" xfId="1" applyFont="1" applyFill="1" applyBorder="1" applyAlignment="1">
      <alignment horizontal="center" vertical="center" wrapText="1"/>
    </xf>
    <xf numFmtId="0" fontId="8" fillId="11" borderId="2" xfId="1" applyFont="1" applyFill="1" applyBorder="1" applyAlignment="1">
      <alignment horizontal="center" vertical="center"/>
    </xf>
    <xf numFmtId="0" fontId="8" fillId="11" borderId="4" xfId="1" applyFont="1" applyFill="1" applyBorder="1" applyAlignment="1">
      <alignment horizontal="center" vertical="center"/>
    </xf>
    <xf numFmtId="0" fontId="8" fillId="11" borderId="3" xfId="1" applyFont="1" applyFill="1" applyBorder="1" applyAlignment="1">
      <alignment horizontal="center" vertical="center"/>
    </xf>
    <xf numFmtId="0" fontId="15" fillId="21" borderId="8" xfId="0" applyFont="1" applyFill="1" applyBorder="1" applyAlignment="1">
      <alignment horizontal="center" vertical="center" readingOrder="1"/>
    </xf>
    <xf numFmtId="0" fontId="15" fillId="21" borderId="21" xfId="0" applyFont="1" applyFill="1" applyBorder="1" applyAlignment="1">
      <alignment horizontal="center" vertical="center" readingOrder="1"/>
    </xf>
    <xf numFmtId="0" fontId="8" fillId="17" borderId="2" xfId="1" applyFont="1" applyFill="1" applyBorder="1" applyAlignment="1">
      <alignment horizontal="center" vertical="center"/>
    </xf>
    <xf numFmtId="0" fontId="8" fillId="17" borderId="4" xfId="1" applyFont="1" applyFill="1" applyBorder="1" applyAlignment="1">
      <alignment horizontal="center" vertical="center"/>
    </xf>
    <xf numFmtId="0" fontId="15" fillId="16" borderId="13" xfId="0" applyFont="1" applyFill="1" applyBorder="1" applyAlignment="1">
      <alignment horizontal="center" vertical="center" wrapText="1" readingOrder="1"/>
    </xf>
    <xf numFmtId="0" fontId="15" fillId="16" borderId="14" xfId="0" applyFont="1" applyFill="1" applyBorder="1" applyAlignment="1">
      <alignment horizontal="center" vertical="center" wrapText="1" readingOrder="1"/>
    </xf>
    <xf numFmtId="0" fontId="15" fillId="18" borderId="12" xfId="0" applyFont="1" applyFill="1" applyBorder="1" applyAlignment="1">
      <alignment horizontal="center" vertical="center" readingOrder="1"/>
    </xf>
    <xf numFmtId="0" fontId="15" fillId="18" borderId="13" xfId="0" applyFont="1" applyFill="1" applyBorder="1" applyAlignment="1">
      <alignment horizontal="center" vertical="center" readingOrder="1"/>
    </xf>
    <xf numFmtId="0" fontId="15" fillId="18" borderId="14" xfId="0" applyFont="1" applyFill="1" applyBorder="1" applyAlignment="1">
      <alignment horizontal="center" vertical="center" readingOrder="1"/>
    </xf>
    <xf numFmtId="0" fontId="14" fillId="19" borderId="25" xfId="0" applyFont="1" applyFill="1" applyBorder="1" applyAlignment="1">
      <alignment horizontal="center" vertical="center"/>
    </xf>
    <xf numFmtId="0" fontId="14" fillId="19" borderId="7" xfId="0" applyFont="1" applyFill="1" applyBorder="1" applyAlignment="1">
      <alignment horizontal="center" vertical="center"/>
    </xf>
    <xf numFmtId="0" fontId="14" fillId="19" borderId="26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14" borderId="6" xfId="1" applyFont="1" applyFill="1" applyBorder="1" applyAlignment="1">
      <alignment horizontal="center" vertical="center" wrapText="1"/>
    </xf>
    <xf numFmtId="0" fontId="9" fillId="14" borderId="7" xfId="1" applyFont="1" applyFill="1" applyBorder="1" applyAlignment="1">
      <alignment horizontal="center" vertical="center" wrapText="1"/>
    </xf>
    <xf numFmtId="0" fontId="15" fillId="22" borderId="5" xfId="0" applyFont="1" applyFill="1" applyBorder="1" applyAlignment="1">
      <alignment horizontal="center" vertical="center" wrapText="1" readingOrder="1"/>
    </xf>
    <xf numFmtId="0" fontId="15" fillId="22" borderId="0" xfId="0" applyFont="1" applyFill="1" applyAlignment="1">
      <alignment horizontal="center" vertical="center" wrapText="1" readingOrder="1"/>
    </xf>
    <xf numFmtId="0" fontId="15" fillId="23" borderId="4" xfId="0" applyFont="1" applyFill="1" applyBorder="1" applyAlignment="1">
      <alignment horizontal="center" vertical="center" wrapText="1" readingOrder="1"/>
    </xf>
    <xf numFmtId="0" fontId="15" fillId="23" borderId="3" xfId="0" applyFont="1" applyFill="1" applyBorder="1" applyAlignment="1">
      <alignment horizontal="center" vertical="center" wrapText="1" readingOrder="1"/>
    </xf>
    <xf numFmtId="0" fontId="14" fillId="7" borderId="6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26" xfId="0" applyFont="1" applyFill="1" applyBorder="1" applyAlignment="1">
      <alignment horizontal="center" vertical="center"/>
    </xf>
    <xf numFmtId="0" fontId="15" fillId="20" borderId="27" xfId="0" applyFont="1" applyFill="1" applyBorder="1" applyAlignment="1">
      <alignment horizontal="center" vertical="center" readingOrder="1"/>
    </xf>
    <xf numFmtId="0" fontId="15" fillId="20" borderId="13" xfId="0" applyFont="1" applyFill="1" applyBorder="1" applyAlignment="1">
      <alignment horizontal="center" vertical="center" readingOrder="1"/>
    </xf>
    <xf numFmtId="0" fontId="15" fillId="20" borderId="28" xfId="0" applyFont="1" applyFill="1" applyBorder="1" applyAlignment="1">
      <alignment horizontal="center" vertical="center" readingOrder="1"/>
    </xf>
    <xf numFmtId="0" fontId="15" fillId="7" borderId="23" xfId="0" applyFont="1" applyFill="1" applyBorder="1" applyAlignment="1">
      <alignment horizontal="center" vertical="center" wrapText="1" readingOrder="1"/>
    </xf>
    <xf numFmtId="2" fontId="20" fillId="25" borderId="29" xfId="0" applyNumberFormat="1" applyFont="1" applyFill="1" applyBorder="1" applyAlignment="1">
      <alignment horizontal="center" vertical="center" wrapText="1"/>
    </xf>
    <xf numFmtId="0" fontId="21" fillId="25" borderId="29" xfId="0" applyFont="1" applyFill="1" applyBorder="1" applyAlignment="1">
      <alignment horizontal="center" vertical="center" wrapText="1"/>
    </xf>
    <xf numFmtId="2" fontId="18" fillId="16" borderId="23" xfId="0" applyNumberFormat="1" applyFont="1" applyFill="1" applyBorder="1" applyAlignment="1">
      <alignment horizontal="center" vertical="center" wrapText="1"/>
    </xf>
    <xf numFmtId="0" fontId="22" fillId="16" borderId="23" xfId="0" applyFont="1" applyFill="1" applyBorder="1" applyAlignment="1">
      <alignment horizontal="center" wrapText="1"/>
    </xf>
    <xf numFmtId="2" fontId="18" fillId="18" borderId="23" xfId="0" applyNumberFormat="1" applyFont="1" applyFill="1" applyBorder="1" applyAlignment="1">
      <alignment horizontal="center" vertical="center" wrapText="1"/>
    </xf>
    <xf numFmtId="0" fontId="22" fillId="18" borderId="23" xfId="0" applyFont="1" applyFill="1" applyBorder="1" applyAlignment="1">
      <alignment horizontal="center" vertical="center" wrapText="1"/>
    </xf>
    <xf numFmtId="2" fontId="20" fillId="19" borderId="29" xfId="0" applyNumberFormat="1" applyFont="1" applyFill="1" applyBorder="1" applyAlignment="1">
      <alignment horizontal="center" vertical="center" wrapText="1"/>
    </xf>
    <xf numFmtId="0" fontId="23" fillId="19" borderId="29" xfId="0" applyFont="1" applyFill="1" applyBorder="1" applyAlignment="1">
      <alignment horizontal="center" vertical="center" wrapText="1"/>
    </xf>
    <xf numFmtId="2" fontId="20" fillId="7" borderId="29" xfId="0" applyNumberFormat="1" applyFont="1" applyFill="1" applyBorder="1" applyAlignment="1">
      <alignment horizontal="center" vertical="center" wrapText="1"/>
    </xf>
    <xf numFmtId="0" fontId="23" fillId="7" borderId="29" xfId="0" applyFont="1" applyFill="1" applyBorder="1" applyAlignment="1">
      <alignment horizontal="center" vertical="center" wrapText="1"/>
    </xf>
    <xf numFmtId="2" fontId="18" fillId="20" borderId="23" xfId="0" applyNumberFormat="1" applyFont="1" applyFill="1" applyBorder="1" applyAlignment="1">
      <alignment horizontal="center" vertical="center" wrapText="1"/>
    </xf>
    <xf numFmtId="0" fontId="22" fillId="20" borderId="23" xfId="0" applyFont="1" applyFill="1" applyBorder="1" applyAlignment="1">
      <alignment horizontal="center" vertical="center" wrapText="1"/>
    </xf>
    <xf numFmtId="2" fontId="18" fillId="21" borderId="23" xfId="0" applyNumberFormat="1" applyFont="1" applyFill="1" applyBorder="1" applyAlignment="1">
      <alignment horizontal="center" vertical="center" wrapText="1"/>
    </xf>
    <xf numFmtId="2" fontId="18" fillId="26" borderId="23" xfId="0" applyNumberFormat="1" applyFont="1" applyFill="1" applyBorder="1" applyAlignment="1">
      <alignment horizontal="center" wrapText="1"/>
    </xf>
    <xf numFmtId="2" fontId="18" fillId="27" borderId="23" xfId="0" applyNumberFormat="1" applyFont="1" applyFill="1" applyBorder="1" applyAlignment="1">
      <alignment horizontal="center" vertical="center" wrapText="1"/>
    </xf>
    <xf numFmtId="2" fontId="18" fillId="28" borderId="23" xfId="0" applyNumberFormat="1" applyFont="1" applyFill="1" applyBorder="1" applyAlignment="1">
      <alignment horizontal="center" wrapText="1"/>
    </xf>
    <xf numFmtId="0" fontId="0" fillId="0" borderId="30" xfId="0" applyFill="1" applyBorder="1"/>
    <xf numFmtId="0" fontId="19" fillId="0" borderId="30" xfId="0" applyFont="1" applyFill="1" applyBorder="1" applyAlignment="1">
      <alignment horizontal="center" vertical="center" wrapText="1" readingOrder="1"/>
    </xf>
    <xf numFmtId="2" fontId="20" fillId="0" borderId="30" xfId="0" applyNumberFormat="1" applyFont="1" applyFill="1" applyBorder="1" applyAlignment="1">
      <alignment horizontal="center" vertical="center" wrapText="1"/>
    </xf>
    <xf numFmtId="0" fontId="21" fillId="0" borderId="30" xfId="0" applyFont="1" applyFill="1" applyBorder="1" applyAlignment="1">
      <alignment horizontal="center" vertical="center" wrapText="1"/>
    </xf>
    <xf numFmtId="2" fontId="18" fillId="0" borderId="30" xfId="0" applyNumberFormat="1" applyFont="1" applyFill="1" applyBorder="1" applyAlignment="1">
      <alignment horizontal="center" vertical="center" wrapText="1"/>
    </xf>
    <xf numFmtId="0" fontId="22" fillId="0" borderId="30" xfId="0" applyFont="1" applyFill="1" applyBorder="1" applyAlignment="1">
      <alignment horizontal="center" wrapText="1"/>
    </xf>
    <xf numFmtId="0" fontId="22" fillId="0" borderId="30" xfId="0" applyFont="1" applyFill="1" applyBorder="1" applyAlignment="1">
      <alignment horizontal="center" vertical="center" wrapText="1"/>
    </xf>
    <xf numFmtId="0" fontId="23" fillId="0" borderId="30" xfId="0" applyFont="1" applyFill="1" applyBorder="1" applyAlignment="1">
      <alignment horizontal="center" vertical="center" wrapText="1"/>
    </xf>
    <xf numFmtId="0" fontId="20" fillId="0" borderId="30" xfId="0" applyFont="1" applyFill="1" applyBorder="1" applyAlignment="1">
      <alignment horizontal="center" vertical="center" wrapText="1"/>
    </xf>
    <xf numFmtId="0" fontId="18" fillId="0" borderId="30" xfId="0" applyFont="1" applyFill="1" applyBorder="1" applyAlignment="1">
      <alignment horizontal="center" vertical="center" wrapText="1"/>
    </xf>
    <xf numFmtId="2" fontId="18" fillId="0" borderId="30" xfId="0" applyNumberFormat="1" applyFont="1" applyFill="1" applyBorder="1" applyAlignment="1">
      <alignment horizontal="center" wrapText="1"/>
    </xf>
  </cellXfs>
  <cellStyles count="13">
    <cellStyle name="Comma 2" xfId="2" xr:uid="{00000000-0005-0000-0000-000000000000}"/>
    <cellStyle name="Normal" xfId="0" builtinId="0"/>
    <cellStyle name="Normal 2" xfId="1" xr:uid="{00000000-0005-0000-0000-000002000000}"/>
    <cellStyle name="Normal 2 2" xfId="6" xr:uid="{00000000-0005-0000-0000-000003000000}"/>
    <cellStyle name="Normal 3" xfId="4" xr:uid="{00000000-0005-0000-0000-000004000000}"/>
    <cellStyle name="Normal 3 2" xfId="7" xr:uid="{00000000-0005-0000-0000-000005000000}"/>
    <cellStyle name="Normal 4" xfId="8" xr:uid="{00000000-0005-0000-0000-000006000000}"/>
    <cellStyle name="Normal 4 2" xfId="9" xr:uid="{00000000-0005-0000-0000-000007000000}"/>
    <cellStyle name="Normal 5" xfId="10" xr:uid="{00000000-0005-0000-0000-000008000000}"/>
    <cellStyle name="Normal 6" xfId="11" xr:uid="{00000000-0005-0000-0000-000009000000}"/>
    <cellStyle name="Normal 7" xfId="5" xr:uid="{00000000-0005-0000-0000-00000A000000}"/>
    <cellStyle name="Percent 2" xfId="3" xr:uid="{00000000-0005-0000-0000-00000B000000}"/>
    <cellStyle name="rs_cell_header_style" xfId="12" xr:uid="{00000000-0005-0000-0000-00000C000000}"/>
  </cellStyles>
  <dxfs count="7">
    <dxf>
      <border>
        <top style="thin">
          <color theme="1" tint="0.499984740745262"/>
        </top>
        <bottom style="thin">
          <color theme="1" tint="0.499984740745262"/>
        </bottom>
      </border>
    </dxf>
    <dxf>
      <font>
        <color rgb="FF0098E8"/>
      </font>
      <border>
        <top style="thin">
          <color theme="1" tint="0.499984740745262"/>
        </top>
        <bottom style="thin">
          <color theme="1" tint="0.499984740745262"/>
        </bottom>
      </border>
    </dxf>
    <dxf>
      <fill>
        <patternFill>
          <bgColor theme="0" tint="-4.9989318521683403E-2"/>
        </patternFill>
      </fill>
      <border>
        <top/>
        <bottom/>
        <horizontal/>
      </border>
    </dxf>
    <dxf>
      <font>
        <color rgb="FF0098E8"/>
      </font>
      <fill>
        <patternFill patternType="solid">
          <fgColor theme="0" tint="-0.14999847407452621"/>
          <bgColor theme="0" tint="-0.14999847407452621"/>
        </patternFill>
      </fill>
      <border>
        <top/>
        <bottom/>
        <horizontal/>
      </border>
    </dxf>
    <dxf>
      <font>
        <b/>
        <color theme="1"/>
      </font>
      <fill>
        <patternFill patternType="solid">
          <fgColor theme="0"/>
          <bgColor theme="0"/>
        </patternFill>
      </fill>
      <border>
        <top style="thin">
          <color theme="1" tint="0.499984740745262"/>
        </top>
        <bottom style="thin">
          <color theme="1" tint="0.499984740745262"/>
        </bottom>
      </border>
    </dxf>
    <dxf>
      <font>
        <color rgb="FF0098E8"/>
      </font>
      <border>
        <top/>
        <bottom/>
      </border>
    </dxf>
    <dxf>
      <font>
        <color rgb="FF0098E8"/>
      </font>
      <border>
        <horizontal style="thin">
          <color theme="0" tint="-0.14999847407452621"/>
        </horizontal>
      </border>
    </dxf>
  </dxfs>
  <tableStyles count="1" defaultTableStyle="TableStyleMedium2" defaultPivotStyle="PivotStyleLight16">
    <tableStyle name="rs_pivot_style" table="0" count="7" xr9:uid="{00000000-0011-0000-FFFF-FFFF00000000}">
      <tableStyleElement type="wholeTable" dxfId="6"/>
      <tableStyleElement type="headerRow" dxfId="5"/>
      <tableStyleElement type="totalRow" dxfId="4"/>
      <tableStyleElement type="firstRowStripe" dxfId="3"/>
      <tableStyleElement type="secondRowStripe" dxfId="2"/>
      <tableStyleElement type="pageFieldLabels" dxfId="1"/>
      <tableStyleElement type="pageFieldValues" dxfId="0"/>
    </tableStyle>
  </tableStyles>
  <colors>
    <mruColors>
      <color rgb="FFCC99FF"/>
      <color rgb="FFFFCC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9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0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1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2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3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4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5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6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7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8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9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0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1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2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3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4.xml"/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5.xml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6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7.xml"/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8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9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0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1.xml"/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2.xml"/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3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4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5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6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7.xml"/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8.xml"/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9.xml"/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0.xml"/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1.xml"/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2.xml"/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3.xml"/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4.xml"/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5.xml"/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d-ID"/>
              <a:t>Chart Title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'Scattering Plot FTP DL 4G'!$ES$1</c:f>
              <c:strCache>
                <c:ptCount val="1"/>
                <c:pt idx="0">
                  <c:v>RSRQ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6">
                  <a:lumMod val="75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'Scattering Plot FTP DL 4G'!$ER$2</c:f>
              <c:numCache>
                <c:formatCode>General</c:formatCode>
                <c:ptCount val="1"/>
                <c:pt idx="0">
                  <c:v>-88.6</c:v>
                </c:pt>
              </c:numCache>
            </c:numRef>
          </c:xVal>
          <c:yVal>
            <c:numRef>
              <c:f>'Scattering Plot FTP DL 4G'!$ES$2</c:f>
              <c:numCache>
                <c:formatCode>General</c:formatCode>
                <c:ptCount val="1"/>
                <c:pt idx="0">
                  <c:v>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92-417B-92F7-74EEF402CC5C}"/>
            </c:ext>
          </c:extLst>
        </c:ser>
        <c:ser>
          <c:idx val="1"/>
          <c:order val="1"/>
          <c:tx>
            <c:strRef>
              <c:f>'Scattering Plot FTP DL 4G'!$ET$1</c:f>
              <c:strCache>
                <c:ptCount val="1"/>
                <c:pt idx="0">
                  <c:v>&gt;=25 Mbps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rgbClr val="92D050"/>
              </a:solidFill>
              <a:ln w="9525">
                <a:noFill/>
              </a:ln>
              <a:effectLst/>
            </c:spPr>
          </c:marker>
          <c:xVal>
            <c:numRef>
              <c:f>'Scattering Plot FTP DL 4G'!$ER$2</c:f>
              <c:numCache>
                <c:formatCode>General</c:formatCode>
                <c:ptCount val="1"/>
                <c:pt idx="0">
                  <c:v>-88.6</c:v>
                </c:pt>
              </c:numCache>
            </c:numRef>
          </c:xVal>
          <c:yVal>
            <c:numRef>
              <c:f>'Scattering Plot FTP DL 4G'!$ET$2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392-417B-92F7-74EEF402CC5C}"/>
            </c:ext>
          </c:extLst>
        </c:ser>
        <c:ser>
          <c:idx val="2"/>
          <c:order val="2"/>
          <c:tx>
            <c:strRef>
              <c:f>'Scattering Plot FTP DL 4G'!$EU$1</c:f>
              <c:strCache>
                <c:ptCount val="1"/>
                <c:pt idx="0">
                  <c:v>&gt;=20 and &lt;25 Mbps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rgbClr val="FFFF00"/>
              </a:solidFill>
              <a:ln w="9525">
                <a:noFill/>
              </a:ln>
              <a:effectLst/>
            </c:spPr>
          </c:marker>
          <c:xVal>
            <c:numRef>
              <c:f>'Scattering Plot FTP DL 4G'!$ER$2</c:f>
              <c:numCache>
                <c:formatCode>General</c:formatCode>
                <c:ptCount val="1"/>
                <c:pt idx="0">
                  <c:v>-88.6</c:v>
                </c:pt>
              </c:numCache>
            </c:numRef>
          </c:xVal>
          <c:yVal>
            <c:numRef>
              <c:f>'Scattering Plot FTP DL 4G'!$EU$2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392-417B-92F7-74EEF402CC5C}"/>
            </c:ext>
          </c:extLst>
        </c:ser>
        <c:ser>
          <c:idx val="3"/>
          <c:order val="3"/>
          <c:tx>
            <c:strRef>
              <c:f>'Scattering Plot FTP DL 4G'!$EV$1</c:f>
              <c:strCache>
                <c:ptCount val="1"/>
                <c:pt idx="0">
                  <c:v>&gt;=7 and &lt;20 Mbps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'Scattering Plot FTP DL 4G'!$ER$2</c:f>
              <c:numCache>
                <c:formatCode>General</c:formatCode>
                <c:ptCount val="1"/>
                <c:pt idx="0">
                  <c:v>-88.6</c:v>
                </c:pt>
              </c:numCache>
            </c:numRef>
          </c:xVal>
          <c:yVal>
            <c:numRef>
              <c:f>'Scattering Plot FTP DL 4G'!$EV$2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392-417B-92F7-74EEF402CC5C}"/>
            </c:ext>
          </c:extLst>
        </c:ser>
        <c:ser>
          <c:idx val="4"/>
          <c:order val="4"/>
          <c:tx>
            <c:strRef>
              <c:f>'Scattering Plot FTP DL 4G'!$EW$1</c:f>
              <c:strCache>
                <c:ptCount val="1"/>
                <c:pt idx="0">
                  <c:v>&gt;=5 and &lt;7 Mbps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'Scattering Plot FTP DL 4G'!$ER$2</c:f>
              <c:numCache>
                <c:formatCode>General</c:formatCode>
                <c:ptCount val="1"/>
                <c:pt idx="0">
                  <c:v>-88.6</c:v>
                </c:pt>
              </c:numCache>
            </c:numRef>
          </c:xVal>
          <c:yVal>
            <c:numRef>
              <c:f>'Scattering Plot FTP DL 4G'!$EW$2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392-417B-92F7-74EEF402CC5C}"/>
            </c:ext>
          </c:extLst>
        </c:ser>
        <c:ser>
          <c:idx val="5"/>
          <c:order val="5"/>
          <c:tx>
            <c:strRef>
              <c:f>'Scattering Plot FTP DL 4G'!$EX$1</c:f>
              <c:strCache>
                <c:ptCount val="1"/>
                <c:pt idx="0">
                  <c:v>&gt;=1 and &lt;5 Mbps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'Scattering Plot FTP DL 4G'!$ER$2</c:f>
              <c:numCache>
                <c:formatCode>General</c:formatCode>
                <c:ptCount val="1"/>
                <c:pt idx="0">
                  <c:v>-88.6</c:v>
                </c:pt>
              </c:numCache>
            </c:numRef>
          </c:xVal>
          <c:yVal>
            <c:numRef>
              <c:f>'Scattering Plot FTP DL 4G'!$EX$2</c:f>
              <c:numCache>
                <c:formatCode>General</c:formatCode>
                <c:ptCount val="1"/>
                <c:pt idx="0">
                  <c:v>-7.2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392-417B-92F7-74EEF402CC5C}"/>
            </c:ext>
          </c:extLst>
        </c:ser>
        <c:ser>
          <c:idx val="6"/>
          <c:order val="6"/>
          <c:tx>
            <c:strRef>
              <c:f>'Scattering Plot FTP DL 4G'!$EY$1</c:f>
              <c:strCache>
                <c:ptCount val="1"/>
                <c:pt idx="0">
                  <c:v>&lt;1 Mbps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'Scattering Plot FTP DL 4G'!$ER$2</c:f>
              <c:numCache>
                <c:formatCode>General</c:formatCode>
                <c:ptCount val="1"/>
                <c:pt idx="0">
                  <c:v>-88.6</c:v>
                </c:pt>
              </c:numCache>
            </c:numRef>
          </c:xVal>
          <c:yVal>
            <c:numRef>
              <c:f>'Scattering Plot FTP DL 4G'!$EY$2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64AE-4466-8016-5988759690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5685464"/>
        <c:axId val="645678576"/>
      </c:scatterChart>
      <c:valAx>
        <c:axId val="645685464"/>
        <c:scaling>
          <c:orientation val="minMax"/>
          <c:max val="-50"/>
          <c:min val="-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RSRP</a:t>
                </a:r>
                <a:endParaRPr lang="id-ID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678576"/>
        <c:crosses val="autoZero"/>
        <c:crossBetween val="midCat"/>
        <c:majorUnit val="5"/>
      </c:valAx>
      <c:valAx>
        <c:axId val="645678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RSRQ</a:t>
                </a:r>
                <a:endParaRPr lang="id-ID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6854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d-ID"/>
              <a:t>Smartfren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4472C4">
              <a:lumMod val="5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"/>
        <c:spPr>
          <a:solidFill>
            <a:srgbClr val="4472C4">
              <a:lumMod val="75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solidFill>
            <a:srgbClr val="4472C4">
              <a:lumMod val="60000"/>
              <a:lumOff val="4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solidFill>
            <a:srgbClr val="4472C4">
              <a:lumMod val="40000"/>
              <a:lumOff val="6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solidFill>
            <a:srgbClr val="70AD47">
              <a:lumMod val="5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"/>
        <c:spPr>
          <a:solidFill>
            <a:srgbClr val="70AD47">
              <a:lumMod val="75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spPr>
          <a:solidFill>
            <a:srgbClr val="70AD47">
              <a:lumMod val="60000"/>
              <a:lumOff val="4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"/>
        <c:spPr>
          <a:solidFill>
            <a:srgbClr val="70AD47">
              <a:lumMod val="40000"/>
              <a:lumOff val="6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  <c:spPr>
          <a:solidFill>
            <a:srgbClr val="FFFF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solidFill>
            <a:srgbClr val="FFC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4472C4">
              <a:lumMod val="75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2"/>
        <c:spPr>
          <a:solidFill>
            <a:srgbClr val="4472C4">
              <a:lumMod val="60000"/>
              <a:lumOff val="4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3"/>
        <c:spPr>
          <a:solidFill>
            <a:srgbClr val="4472C4">
              <a:lumMod val="40000"/>
              <a:lumOff val="6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4"/>
        <c:spPr>
          <a:solidFill>
            <a:srgbClr val="70AD47">
              <a:lumMod val="5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5"/>
        <c:spPr>
          <a:solidFill>
            <a:srgbClr val="70AD47">
              <a:lumMod val="75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6"/>
        <c:spPr>
          <a:solidFill>
            <a:srgbClr val="70AD47">
              <a:lumMod val="60000"/>
              <a:lumOff val="4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7"/>
        <c:spPr>
          <a:solidFill>
            <a:srgbClr val="70AD47">
              <a:lumMod val="40000"/>
              <a:lumOff val="6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8"/>
        <c:spPr>
          <a:solidFill>
            <a:srgbClr val="FFFF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9"/>
        <c:spPr>
          <a:solidFill>
            <a:srgbClr val="FFC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0"/>
        <c:spPr>
          <a:solidFill>
            <a:srgbClr val="FF0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1"/>
        <c:spPr>
          <a:solidFill>
            <a:srgbClr val="C00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rgbClr val="5B9BD5">
              <a:lumMod val="75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4"/>
        <c:spPr>
          <a:solidFill>
            <a:srgbClr val="FFFF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5"/>
        <c:spPr>
          <a:solidFill>
            <a:srgbClr val="FF0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6"/>
        <c:spPr>
          <a:solidFill>
            <a:sysClr val="windowText" lastClr="000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7"/>
        <c:spPr>
          <a:solidFill>
            <a:srgbClr val="70AD47">
              <a:lumMod val="75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Input!$E$1</c:f>
              <c:strCache>
                <c:ptCount val="1"/>
                <c:pt idx="0">
                  <c:v>Smartfren</c:v>
                </c:pt>
              </c:strCache>
            </c:strRef>
          </c:tx>
          <c:spPr>
            <a:solidFill>
              <a:srgbClr val="00B050"/>
            </a:solidFill>
          </c:spPr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B-1666-4E20-8A7B-01394EB9E3B2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C-1666-4E20-8A7B-01394EB9E3B2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D-1666-4E20-8A7B-01394EB9E3B2}"/>
              </c:ext>
            </c:extLst>
          </c:dPt>
          <c:dPt>
            <c:idx val="3"/>
            <c:bubble3D val="0"/>
            <c:spPr>
              <a:solidFill>
                <a:srgbClr val="00B05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E-1666-4E20-8A7B-01394EB9E3B2}"/>
              </c:ext>
            </c:extLst>
          </c:dPt>
          <c:dPt>
            <c:idx val="4"/>
            <c:bubble3D val="0"/>
            <c:spPr>
              <a:solidFill>
                <a:srgbClr val="00B05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F-1666-4E20-8A7B-01394EB9E3B2}"/>
              </c:ext>
            </c:extLst>
          </c:dPt>
          <c:dPt>
            <c:idx val="5"/>
            <c:bubble3D val="0"/>
            <c:spPr>
              <a:solidFill>
                <a:srgbClr val="00B05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0-1666-4E20-8A7B-01394EB9E3B2}"/>
              </c:ext>
            </c:extLst>
          </c:dPt>
          <c:dPt>
            <c:idx val="6"/>
            <c:bubble3D val="0"/>
            <c:spPr>
              <a:solidFill>
                <a:srgbClr val="00B05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1-1666-4E20-8A7B-01394EB9E3B2}"/>
              </c:ext>
            </c:extLst>
          </c:dPt>
          <c:dPt>
            <c:idx val="7"/>
            <c:bubble3D val="0"/>
            <c:spPr>
              <a:solidFill>
                <a:srgbClr val="00B05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2-1666-4E20-8A7B-01394EB9E3B2}"/>
              </c:ext>
            </c:extLst>
          </c:dPt>
          <c:dPt>
            <c:idx val="8"/>
            <c:bubble3D val="0"/>
            <c:spPr>
              <a:solidFill>
                <a:srgbClr val="00B05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3-1666-4E20-8A7B-01394EB9E3B2}"/>
              </c:ext>
            </c:extLst>
          </c:dPt>
          <c:dPt>
            <c:idx val="9"/>
            <c:bubble3D val="0"/>
            <c:spPr>
              <a:solidFill>
                <a:srgbClr val="00B05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4-1666-4E20-8A7B-01394EB9E3B2}"/>
              </c:ext>
            </c:extLst>
          </c:dPt>
          <c:dPt>
            <c:idx val="10"/>
            <c:bubble3D val="0"/>
            <c:spPr>
              <a:solidFill>
                <a:srgbClr val="00B05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5-1666-4E20-8A7B-01394EB9E3B2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B-1666-4E20-8A7B-01394EB9E3B2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C-1666-4E20-8A7B-01394EB9E3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Input!$B$2:$B$4</c:f>
              <c:strCache>
                <c:ptCount val="3"/>
                <c:pt idx="0">
                  <c:v>2G (%)</c:v>
                </c:pt>
                <c:pt idx="1">
                  <c:v>3G (%)</c:v>
                </c:pt>
                <c:pt idx="2">
                  <c:v>4G (%)</c:v>
                </c:pt>
              </c:strCache>
            </c:strRef>
          </c:cat>
          <c:val>
            <c:numRef>
              <c:f>Input!$E$2:$E$4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1666-4E20-8A7B-01394EB9E3B2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4472C4">
              <a:lumMod val="5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"/>
        <c:spPr>
          <a:solidFill>
            <a:srgbClr val="4472C4">
              <a:lumMod val="75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solidFill>
            <a:srgbClr val="4472C4">
              <a:lumMod val="60000"/>
              <a:lumOff val="4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solidFill>
            <a:srgbClr val="4472C4">
              <a:lumMod val="40000"/>
              <a:lumOff val="6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solidFill>
            <a:srgbClr val="70AD47">
              <a:lumMod val="5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"/>
        <c:spPr>
          <a:solidFill>
            <a:srgbClr val="70AD47">
              <a:lumMod val="75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spPr>
          <a:solidFill>
            <a:srgbClr val="70AD47">
              <a:lumMod val="60000"/>
              <a:lumOff val="4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"/>
        <c:spPr>
          <a:solidFill>
            <a:srgbClr val="70AD47">
              <a:lumMod val="40000"/>
              <a:lumOff val="6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  <c:spPr>
          <a:solidFill>
            <a:srgbClr val="FFFF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solidFill>
            <a:srgbClr val="FFC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4472C4">
              <a:lumMod val="75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2"/>
        <c:spPr>
          <a:solidFill>
            <a:srgbClr val="4472C4">
              <a:lumMod val="60000"/>
              <a:lumOff val="4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3"/>
        <c:spPr>
          <a:solidFill>
            <a:srgbClr val="4472C4">
              <a:lumMod val="40000"/>
              <a:lumOff val="6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4"/>
        <c:spPr>
          <a:solidFill>
            <a:srgbClr val="70AD47">
              <a:lumMod val="5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5"/>
        <c:spPr>
          <a:solidFill>
            <a:srgbClr val="70AD47">
              <a:lumMod val="75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6"/>
        <c:spPr>
          <a:solidFill>
            <a:srgbClr val="70AD47">
              <a:lumMod val="60000"/>
              <a:lumOff val="4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7"/>
        <c:spPr>
          <a:solidFill>
            <a:srgbClr val="70AD47">
              <a:lumMod val="40000"/>
              <a:lumOff val="6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8"/>
        <c:spPr>
          <a:solidFill>
            <a:srgbClr val="FFFF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9"/>
        <c:spPr>
          <a:solidFill>
            <a:srgbClr val="FFC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0"/>
        <c:spPr>
          <a:solidFill>
            <a:srgbClr val="FF0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1"/>
        <c:spPr>
          <a:solidFill>
            <a:srgbClr val="C00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rgbClr val="5B9BD5">
              <a:lumMod val="75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4"/>
        <c:spPr>
          <a:solidFill>
            <a:srgbClr val="FFFF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5"/>
        <c:spPr>
          <a:solidFill>
            <a:srgbClr val="FF0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6"/>
        <c:spPr>
          <a:solidFill>
            <a:sysClr val="windowText" lastClr="000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7"/>
        <c:spPr>
          <a:solidFill>
            <a:srgbClr val="70AD47">
              <a:lumMod val="75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Input!$F$1</c:f>
              <c:strCache>
                <c:ptCount val="1"/>
                <c:pt idx="0">
                  <c:v>Telkomsel</c:v>
                </c:pt>
              </c:strCache>
            </c:strRef>
          </c:tx>
          <c:dPt>
            <c:idx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B-1666-4E20-8A7B-01394EB9E3B2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C-1666-4E20-8A7B-01394EB9E3B2}"/>
              </c:ext>
            </c:extLst>
          </c:dPt>
          <c:dPt>
            <c:idx val="2"/>
            <c:bubble3D val="0"/>
            <c:spPr>
              <a:solidFill>
                <a:srgbClr val="C000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D-1666-4E20-8A7B-01394EB9E3B2}"/>
              </c:ext>
            </c:extLst>
          </c:dPt>
          <c:dPt>
            <c:idx val="3"/>
            <c:bubble3D val="0"/>
            <c:spPr>
              <a:solidFill>
                <a:sysClr val="windowText" lastClr="0000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E-1666-4E20-8A7B-01394EB9E3B2}"/>
              </c:ext>
            </c:extLst>
          </c:dPt>
          <c:dPt>
            <c:idx val="4"/>
            <c:bubble3D val="0"/>
            <c:spPr>
              <a:solidFill>
                <a:srgbClr val="70AD47">
                  <a:lumMod val="75000"/>
                </a:srgb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F-1666-4E20-8A7B-01394EB9E3B2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0-1666-4E20-8A7B-01394EB9E3B2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1-1666-4E20-8A7B-01394EB9E3B2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2-1666-4E20-8A7B-01394EB9E3B2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3-1666-4E20-8A7B-01394EB9E3B2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4-1666-4E20-8A7B-01394EB9E3B2}"/>
              </c:ext>
            </c:extLst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5-1666-4E20-8A7B-01394EB9E3B2}"/>
              </c:ext>
            </c:extLst>
          </c:dPt>
          <c:dLbls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3D-1666-4E20-8A7B-01394EB9E3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Input!$B$2:$B$4</c:f>
              <c:strCache>
                <c:ptCount val="3"/>
                <c:pt idx="0">
                  <c:v>2G (%)</c:v>
                </c:pt>
                <c:pt idx="1">
                  <c:v>3G (%)</c:v>
                </c:pt>
                <c:pt idx="2">
                  <c:v>4G (%)</c:v>
                </c:pt>
              </c:strCache>
            </c:strRef>
          </c:cat>
          <c:val>
            <c:numRef>
              <c:f>Input!$F$2:$F$4</c:f>
              <c:numCache>
                <c:formatCode>0.00</c:formatCode>
                <c:ptCount val="3"/>
                <c:pt idx="0">
                  <c:v>0.2</c:v>
                </c:pt>
                <c:pt idx="1">
                  <c:v>34.29</c:v>
                </c:pt>
                <c:pt idx="2">
                  <c:v>65.510000000000005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1666-4E20-8A7B-01394EB9E3B2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4472C4">
              <a:lumMod val="5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"/>
        <c:spPr>
          <a:solidFill>
            <a:srgbClr val="4472C4">
              <a:lumMod val="75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solidFill>
            <a:srgbClr val="4472C4">
              <a:lumMod val="60000"/>
              <a:lumOff val="4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solidFill>
            <a:srgbClr val="4472C4">
              <a:lumMod val="40000"/>
              <a:lumOff val="6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solidFill>
            <a:srgbClr val="70AD47">
              <a:lumMod val="5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"/>
        <c:spPr>
          <a:solidFill>
            <a:srgbClr val="70AD47">
              <a:lumMod val="75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spPr>
          <a:solidFill>
            <a:srgbClr val="70AD47">
              <a:lumMod val="60000"/>
              <a:lumOff val="4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"/>
        <c:spPr>
          <a:solidFill>
            <a:srgbClr val="70AD47">
              <a:lumMod val="40000"/>
              <a:lumOff val="6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  <c:spPr>
          <a:solidFill>
            <a:srgbClr val="FFFF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solidFill>
            <a:srgbClr val="FFC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4472C4">
              <a:lumMod val="75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2"/>
        <c:spPr>
          <a:solidFill>
            <a:srgbClr val="4472C4">
              <a:lumMod val="60000"/>
              <a:lumOff val="4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3"/>
        <c:spPr>
          <a:solidFill>
            <a:srgbClr val="4472C4">
              <a:lumMod val="40000"/>
              <a:lumOff val="6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4"/>
        <c:spPr>
          <a:solidFill>
            <a:srgbClr val="70AD47">
              <a:lumMod val="5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5"/>
        <c:spPr>
          <a:solidFill>
            <a:srgbClr val="70AD47">
              <a:lumMod val="75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6"/>
        <c:spPr>
          <a:solidFill>
            <a:srgbClr val="70AD47">
              <a:lumMod val="60000"/>
              <a:lumOff val="4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7"/>
        <c:spPr>
          <a:solidFill>
            <a:srgbClr val="70AD47">
              <a:lumMod val="40000"/>
              <a:lumOff val="6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8"/>
        <c:spPr>
          <a:solidFill>
            <a:srgbClr val="FFFF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9"/>
        <c:spPr>
          <a:solidFill>
            <a:srgbClr val="FFC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0"/>
        <c:spPr>
          <a:solidFill>
            <a:srgbClr val="FF0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1"/>
        <c:spPr>
          <a:solidFill>
            <a:srgbClr val="C00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rgbClr val="5B9BD5">
              <a:lumMod val="75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4"/>
        <c:spPr>
          <a:solidFill>
            <a:srgbClr val="FFFF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5"/>
        <c:spPr>
          <a:solidFill>
            <a:srgbClr val="FF0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6"/>
        <c:spPr>
          <a:solidFill>
            <a:sysClr val="windowText" lastClr="000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7"/>
        <c:spPr>
          <a:solidFill>
            <a:srgbClr val="70AD47">
              <a:lumMod val="75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Input!$G$1</c:f>
              <c:strCache>
                <c:ptCount val="1"/>
                <c:pt idx="0">
                  <c:v>XL</c:v>
                </c:pt>
              </c:strCache>
            </c:strRef>
          </c:tx>
          <c:dPt>
            <c:idx val="0"/>
            <c:bubble3D val="0"/>
            <c:spPr>
              <a:solidFill>
                <a:srgbClr val="5B9BD5">
                  <a:lumMod val="75000"/>
                </a:srgb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B-1666-4E20-8A7B-01394EB9E3B2}"/>
              </c:ext>
            </c:extLst>
          </c:dPt>
          <c:dPt>
            <c:idx val="1"/>
            <c:bubble3D val="0"/>
            <c:spPr>
              <a:solidFill>
                <a:srgbClr val="5B9BD5">
                  <a:lumMod val="75000"/>
                </a:srgb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C-1666-4E20-8A7B-01394EB9E3B2}"/>
              </c:ext>
            </c:extLst>
          </c:dPt>
          <c:dPt>
            <c:idx val="2"/>
            <c:bubble3D val="0"/>
            <c:spPr>
              <a:solidFill>
                <a:srgbClr val="5B9BD5">
                  <a:lumMod val="50000"/>
                </a:srgb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D-1666-4E20-8A7B-01394EB9E3B2}"/>
              </c:ext>
            </c:extLst>
          </c:dPt>
          <c:dPt>
            <c:idx val="3"/>
            <c:bubble3D val="0"/>
            <c:spPr>
              <a:solidFill>
                <a:sysClr val="windowText" lastClr="0000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E-1666-4E20-8A7B-01394EB9E3B2}"/>
              </c:ext>
            </c:extLst>
          </c:dPt>
          <c:dPt>
            <c:idx val="4"/>
            <c:bubble3D val="0"/>
            <c:spPr>
              <a:solidFill>
                <a:srgbClr val="70AD47">
                  <a:lumMod val="75000"/>
                </a:srgb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F-1666-4E20-8A7B-01394EB9E3B2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0-1666-4E20-8A7B-01394EB9E3B2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1-1666-4E20-8A7B-01394EB9E3B2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2-1666-4E20-8A7B-01394EB9E3B2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3-1666-4E20-8A7B-01394EB9E3B2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4-1666-4E20-8A7B-01394EB9E3B2}"/>
              </c:ext>
            </c:extLst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5-1666-4E20-8A7B-01394EB9E3B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Input!$B$2:$B$4</c:f>
              <c:strCache>
                <c:ptCount val="3"/>
                <c:pt idx="0">
                  <c:v>2G (%)</c:v>
                </c:pt>
                <c:pt idx="1">
                  <c:v>3G (%)</c:v>
                </c:pt>
                <c:pt idx="2">
                  <c:v>4G (%)</c:v>
                </c:pt>
              </c:strCache>
            </c:strRef>
          </c:cat>
          <c:val>
            <c:numRef>
              <c:f>Input!$G$2:$G$4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1666-4E20-8A7B-01394EB9E3B2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4472C4">
              <a:lumMod val="5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"/>
        <c:spPr>
          <a:solidFill>
            <a:srgbClr val="4472C4">
              <a:lumMod val="75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solidFill>
            <a:srgbClr val="4472C4">
              <a:lumMod val="60000"/>
              <a:lumOff val="4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solidFill>
            <a:srgbClr val="4472C4">
              <a:lumMod val="40000"/>
              <a:lumOff val="6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solidFill>
            <a:srgbClr val="70AD47">
              <a:lumMod val="5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"/>
        <c:spPr>
          <a:solidFill>
            <a:srgbClr val="70AD47">
              <a:lumMod val="75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spPr>
          <a:solidFill>
            <a:srgbClr val="70AD47">
              <a:lumMod val="60000"/>
              <a:lumOff val="4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"/>
        <c:spPr>
          <a:solidFill>
            <a:srgbClr val="70AD47">
              <a:lumMod val="40000"/>
              <a:lumOff val="6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  <c:spPr>
          <a:solidFill>
            <a:srgbClr val="FFFF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solidFill>
            <a:srgbClr val="FFC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4472C4">
              <a:lumMod val="75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2"/>
        <c:spPr>
          <a:solidFill>
            <a:srgbClr val="4472C4">
              <a:lumMod val="60000"/>
              <a:lumOff val="4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3"/>
        <c:spPr>
          <a:solidFill>
            <a:srgbClr val="4472C4">
              <a:lumMod val="40000"/>
              <a:lumOff val="6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4"/>
        <c:spPr>
          <a:solidFill>
            <a:srgbClr val="70AD47">
              <a:lumMod val="5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5"/>
        <c:spPr>
          <a:solidFill>
            <a:srgbClr val="70AD47">
              <a:lumMod val="75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6"/>
        <c:spPr>
          <a:solidFill>
            <a:srgbClr val="70AD47">
              <a:lumMod val="60000"/>
              <a:lumOff val="4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7"/>
        <c:spPr>
          <a:solidFill>
            <a:srgbClr val="70AD47">
              <a:lumMod val="40000"/>
              <a:lumOff val="6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8"/>
        <c:spPr>
          <a:solidFill>
            <a:srgbClr val="FFFF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9"/>
        <c:spPr>
          <a:solidFill>
            <a:srgbClr val="FFC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0"/>
        <c:spPr>
          <a:solidFill>
            <a:srgbClr val="FF0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1"/>
        <c:spPr>
          <a:solidFill>
            <a:srgbClr val="C00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rgbClr val="5B9BD5">
              <a:lumMod val="75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4"/>
        <c:spPr>
          <a:solidFill>
            <a:srgbClr val="FFFF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5"/>
        <c:spPr>
          <a:solidFill>
            <a:srgbClr val="FF0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6"/>
        <c:spPr>
          <a:solidFill>
            <a:sysClr val="windowText" lastClr="000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7"/>
        <c:spPr>
          <a:solidFill>
            <a:srgbClr val="70AD47">
              <a:lumMod val="75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Input!$H$1</c:f>
              <c:strCache>
                <c:ptCount val="1"/>
              </c:strCache>
            </c:strRef>
          </c:tx>
          <c:dPt>
            <c:idx val="0"/>
            <c:bubble3D val="0"/>
            <c:spPr>
              <a:solidFill>
                <a:srgbClr val="9933FF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3ED4-4DB2-B1F2-6307E7BD90B2}"/>
              </c:ext>
            </c:extLst>
          </c:dPt>
          <c:dPt>
            <c:idx val="1"/>
            <c:bubble3D val="0"/>
            <c:spPr>
              <a:solidFill>
                <a:srgbClr val="CC99FF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3ED4-4DB2-B1F2-6307E7BD90B2}"/>
              </c:ext>
            </c:extLst>
          </c:dPt>
          <c:dPt>
            <c:idx val="2"/>
            <c:bubble3D val="0"/>
            <c:spPr>
              <a:solidFill>
                <a:srgbClr val="7030A0"/>
              </a:solidFill>
              <a:ln>
                <a:solidFill>
                  <a:srgbClr val="7030A0"/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3ED4-4DB2-B1F2-6307E7BD90B2}"/>
              </c:ext>
            </c:extLst>
          </c:dPt>
          <c:dPt>
            <c:idx val="3"/>
            <c:bubble3D val="0"/>
            <c:spPr>
              <a:solidFill>
                <a:sysClr val="windowText" lastClr="0000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3ED4-4DB2-B1F2-6307E7BD90B2}"/>
              </c:ext>
            </c:extLst>
          </c:dPt>
          <c:dPt>
            <c:idx val="4"/>
            <c:bubble3D val="0"/>
            <c:spPr>
              <a:solidFill>
                <a:srgbClr val="70AD47">
                  <a:lumMod val="75000"/>
                </a:srgb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3ED4-4DB2-B1F2-6307E7BD90B2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3ED4-4DB2-B1F2-6307E7BD90B2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3ED4-4DB2-B1F2-6307E7BD90B2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3ED4-4DB2-B1F2-6307E7BD90B2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3ED4-4DB2-B1F2-6307E7BD90B2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3ED4-4DB2-B1F2-6307E7BD90B2}"/>
              </c:ext>
            </c:extLst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3ED4-4DB2-B1F2-6307E7BD90B2}"/>
              </c:ext>
            </c:extLst>
          </c:dPt>
          <c:dLbls>
            <c:dLbl>
              <c:idx val="1"/>
              <c:tx>
                <c:rich>
                  <a:bodyPr/>
                  <a:lstStyle/>
                  <a:p>
                    <a:fld id="{0B0F04A5-CD0E-4608-B383-017BBA0FBE9C}" type="CATEGORYNAME">
                      <a:rPr lang="en-US">
                        <a:solidFill>
                          <a:schemeClr val="bg1"/>
                        </a:solidFill>
                      </a:rPr>
                      <a:pPr/>
                      <a:t>[CATEGORY NAME]</a:t>
                    </a:fld>
                    <a:r>
                      <a:rPr lang="en-US" baseline="0">
                        <a:solidFill>
                          <a:schemeClr val="bg1"/>
                        </a:solidFill>
                      </a:rPr>
                      <a:t>, </a:t>
                    </a:r>
                    <a:fld id="{2C929692-AEBB-40C7-A83D-334145E6F46F}" type="VALUE">
                      <a:rPr lang="en-US" baseline="0">
                        <a:solidFill>
                          <a:schemeClr val="bg1"/>
                        </a:solidFill>
                      </a:rPr>
                      <a:pPr/>
                      <a:t>[VALUE]</a:t>
                    </a:fld>
                    <a:endParaRPr lang="en-US" baseline="0">
                      <a:solidFill>
                        <a:schemeClr val="bg1"/>
                      </a:solidFill>
                    </a:endParaRPr>
                  </a:p>
                </c:rich>
              </c:tx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3ED4-4DB2-B1F2-6307E7BD90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Input!$B$2:$B$4</c:f>
              <c:strCache>
                <c:ptCount val="3"/>
                <c:pt idx="0">
                  <c:v>2G (%)</c:v>
                </c:pt>
                <c:pt idx="1">
                  <c:v>3G (%)</c:v>
                </c:pt>
                <c:pt idx="2">
                  <c:v>4G (%)</c:v>
                </c:pt>
              </c:strCache>
            </c:strRef>
          </c:cat>
          <c:val>
            <c:numRef>
              <c:f>Input!$H$2:$H$4</c:f>
              <c:numCache>
                <c:formatCode>0.00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16-3ED4-4DB2-B1F2-6307E7BD90B2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overlay val="0"/>
      <c:txPr>
        <a:bodyPr/>
        <a:lstStyle/>
        <a:p>
          <a:pPr>
            <a:defRPr sz="1600" b="1"/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4472C4">
              <a:lumMod val="5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"/>
        <c:spPr>
          <a:solidFill>
            <a:srgbClr val="4472C4">
              <a:lumMod val="75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solidFill>
            <a:srgbClr val="4472C4">
              <a:lumMod val="60000"/>
              <a:lumOff val="4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solidFill>
            <a:srgbClr val="4472C4">
              <a:lumMod val="40000"/>
              <a:lumOff val="6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solidFill>
            <a:srgbClr val="70AD47">
              <a:lumMod val="5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"/>
        <c:spPr>
          <a:solidFill>
            <a:srgbClr val="70AD47">
              <a:lumMod val="75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spPr>
          <a:solidFill>
            <a:srgbClr val="70AD47">
              <a:lumMod val="60000"/>
              <a:lumOff val="4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"/>
        <c:spPr>
          <a:solidFill>
            <a:srgbClr val="70AD47">
              <a:lumMod val="40000"/>
              <a:lumOff val="6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  <c:spPr>
          <a:solidFill>
            <a:srgbClr val="FFFF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solidFill>
            <a:srgbClr val="FFC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4472C4">
              <a:lumMod val="75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2"/>
        <c:spPr>
          <a:solidFill>
            <a:srgbClr val="4472C4">
              <a:lumMod val="60000"/>
              <a:lumOff val="4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3"/>
        <c:spPr>
          <a:solidFill>
            <a:srgbClr val="4472C4">
              <a:lumMod val="40000"/>
              <a:lumOff val="6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4"/>
        <c:spPr>
          <a:solidFill>
            <a:srgbClr val="70AD47">
              <a:lumMod val="5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5"/>
        <c:spPr>
          <a:solidFill>
            <a:srgbClr val="70AD47">
              <a:lumMod val="75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6"/>
        <c:spPr>
          <a:solidFill>
            <a:srgbClr val="70AD47">
              <a:lumMod val="60000"/>
              <a:lumOff val="4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7"/>
        <c:spPr>
          <a:solidFill>
            <a:srgbClr val="70AD47">
              <a:lumMod val="40000"/>
              <a:lumOff val="6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8"/>
        <c:spPr>
          <a:solidFill>
            <a:srgbClr val="FFFF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9"/>
        <c:spPr>
          <a:solidFill>
            <a:srgbClr val="FFC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0"/>
        <c:spPr>
          <a:solidFill>
            <a:srgbClr val="FF0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1"/>
        <c:spPr>
          <a:solidFill>
            <a:srgbClr val="C00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rgbClr val="5B9BD5">
              <a:lumMod val="75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4"/>
        <c:spPr>
          <a:solidFill>
            <a:srgbClr val="FFFF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5"/>
        <c:spPr>
          <a:solidFill>
            <a:srgbClr val="FF0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6"/>
        <c:spPr>
          <a:solidFill>
            <a:sysClr val="windowText" lastClr="000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7"/>
        <c:spPr>
          <a:solidFill>
            <a:srgbClr val="70AD47">
              <a:lumMod val="75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Input!$D$1</c:f>
              <c:strCache>
                <c:ptCount val="1"/>
                <c:pt idx="0">
                  <c:v>Indosat Ooredoo</c:v>
                </c:pt>
              </c:strCache>
            </c:strRef>
          </c:tx>
          <c:dPt>
            <c:idx val="0"/>
            <c:bubble3D val="0"/>
            <c:spPr>
              <a:solidFill>
                <a:srgbClr val="FFFF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B-1666-4E20-8A7B-01394EB9E3B2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C-1666-4E20-8A7B-01394EB9E3B2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D-1666-4E20-8A7B-01394EB9E3B2}"/>
              </c:ext>
            </c:extLst>
          </c:dPt>
          <c:dPt>
            <c:idx val="3"/>
            <c:bubble3D val="0"/>
            <c:spPr>
              <a:solidFill>
                <a:sysClr val="windowText" lastClr="0000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E-1666-4E20-8A7B-01394EB9E3B2}"/>
              </c:ext>
            </c:extLst>
          </c:dPt>
          <c:dPt>
            <c:idx val="4"/>
            <c:bubble3D val="0"/>
            <c:spPr>
              <a:solidFill>
                <a:srgbClr val="70AD47">
                  <a:lumMod val="75000"/>
                </a:srgb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F-1666-4E20-8A7B-01394EB9E3B2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0-1666-4E20-8A7B-01394EB9E3B2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1-1666-4E20-8A7B-01394EB9E3B2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2-1666-4E20-8A7B-01394EB9E3B2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3-1666-4E20-8A7B-01394EB9E3B2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4-1666-4E20-8A7B-01394EB9E3B2}"/>
              </c:ext>
            </c:extLst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5-1666-4E20-8A7B-01394EB9E3B2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>
                      <a:solidFill>
                        <a:schemeClr val="bg1"/>
                      </a:solidFill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3B-1666-4E20-8A7B-01394EB9E3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Input!$B$2:$B$4</c:f>
              <c:strCache>
                <c:ptCount val="3"/>
                <c:pt idx="0">
                  <c:v>2G (%)</c:v>
                </c:pt>
                <c:pt idx="1">
                  <c:v>3G (%)</c:v>
                </c:pt>
                <c:pt idx="2">
                  <c:v>4G (%)</c:v>
                </c:pt>
              </c:strCache>
            </c:strRef>
          </c:cat>
          <c:val>
            <c:numRef>
              <c:f>Input!$D$2:$D$4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1666-4E20-8A7B-01394EB9E3B2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n-US" sz="900" b="0" i="0" u="none" strike="noStrike" kern="1200" baseline="0">
          <a:solidFill>
            <a:schemeClr val="tx2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4472C4">
              <a:lumMod val="5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"/>
        <c:spPr>
          <a:solidFill>
            <a:srgbClr val="4472C4">
              <a:lumMod val="75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solidFill>
            <a:srgbClr val="4472C4">
              <a:lumMod val="60000"/>
              <a:lumOff val="4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solidFill>
            <a:srgbClr val="4472C4">
              <a:lumMod val="40000"/>
              <a:lumOff val="6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solidFill>
            <a:srgbClr val="70AD47">
              <a:lumMod val="5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"/>
        <c:spPr>
          <a:solidFill>
            <a:srgbClr val="70AD47">
              <a:lumMod val="75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spPr>
          <a:solidFill>
            <a:srgbClr val="70AD47">
              <a:lumMod val="60000"/>
              <a:lumOff val="4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"/>
        <c:spPr>
          <a:solidFill>
            <a:srgbClr val="70AD47">
              <a:lumMod val="40000"/>
              <a:lumOff val="6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  <c:spPr>
          <a:solidFill>
            <a:srgbClr val="FFFF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solidFill>
            <a:srgbClr val="FFC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4472C4">
              <a:lumMod val="75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2"/>
        <c:spPr>
          <a:solidFill>
            <a:srgbClr val="4472C4">
              <a:lumMod val="60000"/>
              <a:lumOff val="4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3"/>
        <c:spPr>
          <a:solidFill>
            <a:srgbClr val="4472C4">
              <a:lumMod val="40000"/>
              <a:lumOff val="6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4"/>
        <c:spPr>
          <a:solidFill>
            <a:srgbClr val="70AD47">
              <a:lumMod val="5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5"/>
        <c:spPr>
          <a:solidFill>
            <a:srgbClr val="70AD47">
              <a:lumMod val="75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6"/>
        <c:spPr>
          <a:solidFill>
            <a:srgbClr val="70AD47">
              <a:lumMod val="60000"/>
              <a:lumOff val="4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7"/>
        <c:spPr>
          <a:solidFill>
            <a:srgbClr val="70AD47">
              <a:lumMod val="40000"/>
              <a:lumOff val="6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8"/>
        <c:spPr>
          <a:solidFill>
            <a:srgbClr val="FFFF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9"/>
        <c:spPr>
          <a:solidFill>
            <a:srgbClr val="FFC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0"/>
        <c:spPr>
          <a:solidFill>
            <a:srgbClr val="FF0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1"/>
        <c:spPr>
          <a:solidFill>
            <a:srgbClr val="C00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rgbClr val="5B9BD5">
              <a:lumMod val="75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4"/>
        <c:spPr>
          <a:solidFill>
            <a:srgbClr val="FFFF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5"/>
        <c:spPr>
          <a:solidFill>
            <a:srgbClr val="FF0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6"/>
        <c:spPr>
          <a:solidFill>
            <a:sysClr val="windowText" lastClr="000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7"/>
        <c:spPr>
          <a:solidFill>
            <a:srgbClr val="70AD47">
              <a:lumMod val="75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Input!$C$1</c:f>
              <c:strCache>
                <c:ptCount val="1"/>
                <c:pt idx="0">
                  <c:v>3</c:v>
                </c:pt>
              </c:strCache>
            </c:strRef>
          </c:tx>
          <c:dPt>
            <c:idx val="0"/>
            <c:bubble3D val="0"/>
            <c:spPr>
              <a:solidFill>
                <a:srgbClr val="5B9BD5">
                  <a:lumMod val="75000"/>
                </a:srgb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B-1666-4E20-8A7B-01394EB9E3B2}"/>
              </c:ext>
            </c:extLst>
          </c:dPt>
          <c:dPt>
            <c:idx val="1"/>
            <c:bubble3D val="0"/>
            <c:spPr>
              <a:solidFill>
                <a:sysClr val="windowText" lastClr="000000">
                  <a:lumMod val="50000"/>
                  <a:lumOff val="50000"/>
                </a:sys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C-1666-4E20-8A7B-01394EB9E3B2}"/>
              </c:ext>
            </c:extLst>
          </c:dPt>
          <c:dPt>
            <c:idx val="2"/>
            <c:bubble3D val="0"/>
            <c:spPr>
              <a:solidFill>
                <a:sysClr val="windowText" lastClr="0000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D-1666-4E20-8A7B-01394EB9E3B2}"/>
              </c:ext>
            </c:extLst>
          </c:dPt>
          <c:dPt>
            <c:idx val="3"/>
            <c:bubble3D val="0"/>
            <c:spPr>
              <a:solidFill>
                <a:sysClr val="windowText" lastClr="0000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E-1666-4E20-8A7B-01394EB9E3B2}"/>
              </c:ext>
            </c:extLst>
          </c:dPt>
          <c:dPt>
            <c:idx val="4"/>
            <c:bubble3D val="0"/>
            <c:spPr>
              <a:solidFill>
                <a:srgbClr val="70AD47">
                  <a:lumMod val="75000"/>
                </a:srgb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F-1666-4E20-8A7B-01394EB9E3B2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0-1666-4E20-8A7B-01394EB9E3B2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1-1666-4E20-8A7B-01394EB9E3B2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2-1666-4E20-8A7B-01394EB9E3B2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3-1666-4E20-8A7B-01394EB9E3B2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4-1666-4E20-8A7B-01394EB9E3B2}"/>
              </c:ext>
            </c:extLst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5-1666-4E20-8A7B-01394EB9E3B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Input!$B$2:$B$4</c:f>
              <c:strCache>
                <c:ptCount val="3"/>
                <c:pt idx="0">
                  <c:v>2G (%)</c:v>
                </c:pt>
                <c:pt idx="1">
                  <c:v>3G (%)</c:v>
                </c:pt>
                <c:pt idx="2">
                  <c:v>4G (%)</c:v>
                </c:pt>
              </c:strCache>
            </c:strRef>
          </c:cat>
          <c:val>
            <c:numRef>
              <c:f>Input!$C$2:$C$4</c:f>
              <c:numCache>
                <c:formatCode>0.00</c:formatCode>
                <c:ptCount val="3"/>
                <c:pt idx="0">
                  <c:v>4.3899999999999997</c:v>
                </c:pt>
                <c:pt idx="1">
                  <c:v>30.26</c:v>
                </c:pt>
                <c:pt idx="2">
                  <c:v>65.349999999999994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1666-4E20-8A7B-01394EB9E3B2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HTTP Browsing Success Rate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Input!$B$13</c:f>
              <c:strCache>
                <c:ptCount val="1"/>
                <c:pt idx="0">
                  <c:v>Browsing Success Rate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70-42AF-9923-63C0AB53F9C5}"/>
              </c:ext>
            </c:extLst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70-42AF-9923-63C0AB53F9C5}"/>
              </c:ext>
            </c:extLst>
          </c:dPt>
          <c:dPt>
            <c:idx val="2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70-42AF-9923-63C0AB53F9C5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70-42AF-9923-63C0AB53F9C5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70-42AF-9923-63C0AB53F9C5}"/>
              </c:ext>
            </c:extLst>
          </c:dPt>
          <c:dPt>
            <c:idx val="5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3E9-4B8A-B6EE-E5909C835E5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Input!$C$1:$H$1</c:f>
              <c:strCache>
                <c:ptCount val="5"/>
                <c:pt idx="0">
                  <c:v>3</c:v>
                </c:pt>
                <c:pt idx="1">
                  <c:v>Indosat Ooredoo</c:v>
                </c:pt>
                <c:pt idx="2">
                  <c:v>Smartfren</c:v>
                </c:pt>
                <c:pt idx="3">
                  <c:v>Telkomsel</c:v>
                </c:pt>
                <c:pt idx="4">
                  <c:v>XL</c:v>
                </c:pt>
              </c:strCache>
            </c:strRef>
          </c:cat>
          <c:val>
            <c:numRef>
              <c:f>Input!$C$13:$H$13</c:f>
              <c:numCache>
                <c:formatCode>0.00</c:formatCode>
                <c:ptCount val="6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83.333333333333343</c:v>
                </c:pt>
                <c:pt idx="4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470-42AF-9923-63C0AB53F9C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573680224"/>
        <c:axId val="1485241792"/>
      </c:barChart>
      <c:catAx>
        <c:axId val="15736802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5241792"/>
        <c:crosses val="autoZero"/>
        <c:auto val="1"/>
        <c:lblAlgn val="ctr"/>
        <c:lblOffset val="100"/>
        <c:noMultiLvlLbl val="0"/>
      </c:catAx>
      <c:valAx>
        <c:axId val="1485241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3680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HTTP Throughput (Mbps)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Input!$B$14</c:f>
              <c:strCache>
                <c:ptCount val="1"/>
                <c:pt idx="0">
                  <c:v>Average Browsing Speed (Mbps)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70-42AF-9923-63C0AB53F9C5}"/>
              </c:ext>
            </c:extLst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70-42AF-9923-63C0AB53F9C5}"/>
              </c:ext>
            </c:extLst>
          </c:dPt>
          <c:dPt>
            <c:idx val="2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70-42AF-9923-63C0AB53F9C5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70-42AF-9923-63C0AB53F9C5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70-42AF-9923-63C0AB53F9C5}"/>
              </c:ext>
            </c:extLst>
          </c:dPt>
          <c:dPt>
            <c:idx val="5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3E9-4B8A-B6EE-E5909C835E5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Input!$C$1:$H$1</c:f>
              <c:strCache>
                <c:ptCount val="5"/>
                <c:pt idx="0">
                  <c:v>3</c:v>
                </c:pt>
                <c:pt idx="1">
                  <c:v>Indosat Ooredoo</c:v>
                </c:pt>
                <c:pt idx="2">
                  <c:v>Smartfren</c:v>
                </c:pt>
                <c:pt idx="3">
                  <c:v>Telkomsel</c:v>
                </c:pt>
                <c:pt idx="4">
                  <c:v>XL</c:v>
                </c:pt>
              </c:strCache>
            </c:strRef>
          </c:cat>
          <c:val>
            <c:numRef>
              <c:f>Input!$C$14:$H$14</c:f>
              <c:numCache>
                <c:formatCode>0.00</c:formatCode>
                <c:ptCount val="6"/>
                <c:pt idx="0">
                  <c:v>5.7198000000000002</c:v>
                </c:pt>
                <c:pt idx="1">
                  <c:v>6.7283462857142862</c:v>
                </c:pt>
                <c:pt idx="2">
                  <c:v>3.6807908571428571</c:v>
                </c:pt>
                <c:pt idx="3">
                  <c:v>2.0638912</c:v>
                </c:pt>
                <c:pt idx="4">
                  <c:v>3.8637051428571429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470-42AF-9923-63C0AB53F9C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573680224"/>
        <c:axId val="1485241792"/>
      </c:barChart>
      <c:catAx>
        <c:axId val="15736802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5241792"/>
        <c:crosses val="autoZero"/>
        <c:auto val="1"/>
        <c:lblAlgn val="ctr"/>
        <c:lblOffset val="100"/>
        <c:noMultiLvlLbl val="0"/>
      </c:catAx>
      <c:valAx>
        <c:axId val="1485241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3680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FTP Download Throughput (Mbps)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Input!$B$6</c:f>
              <c:strCache>
                <c:ptCount val="1"/>
                <c:pt idx="0">
                  <c:v>Average  Download Speed (Mbps)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70-42AF-9923-63C0AB53F9C5}"/>
              </c:ext>
            </c:extLst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70-42AF-9923-63C0AB53F9C5}"/>
              </c:ext>
            </c:extLst>
          </c:dPt>
          <c:dPt>
            <c:idx val="2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70-42AF-9923-63C0AB53F9C5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70-42AF-9923-63C0AB53F9C5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70-42AF-9923-63C0AB53F9C5}"/>
              </c:ext>
            </c:extLst>
          </c:dPt>
          <c:dPt>
            <c:idx val="5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3E9-4B8A-B6EE-E5909C835E5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Input!$C$1:$H$1</c:f>
              <c:strCache>
                <c:ptCount val="5"/>
                <c:pt idx="0">
                  <c:v>3</c:v>
                </c:pt>
                <c:pt idx="1">
                  <c:v>Indosat Ooredoo</c:v>
                </c:pt>
                <c:pt idx="2">
                  <c:v>Smartfren</c:v>
                </c:pt>
                <c:pt idx="3">
                  <c:v>Telkomsel</c:v>
                </c:pt>
                <c:pt idx="4">
                  <c:v>XL</c:v>
                </c:pt>
              </c:strCache>
            </c:strRef>
          </c:cat>
          <c:val>
            <c:numRef>
              <c:f>Input!$C$6:$H$6</c:f>
              <c:numCache>
                <c:formatCode>0.00</c:formatCode>
                <c:ptCount val="6"/>
                <c:pt idx="0">
                  <c:v>17.613925999999999</c:v>
                </c:pt>
                <c:pt idx="1">
                  <c:v>33.153730000000003</c:v>
                </c:pt>
                <c:pt idx="2">
                  <c:v>11.894360000000001</c:v>
                </c:pt>
                <c:pt idx="3">
                  <c:v>61.133779200000006</c:v>
                </c:pt>
                <c:pt idx="4">
                  <c:v>52.314908799999998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470-42AF-9923-63C0AB53F9C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573680224"/>
        <c:axId val="1485241792"/>
      </c:barChart>
      <c:catAx>
        <c:axId val="15736802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5241792"/>
        <c:crosses val="autoZero"/>
        <c:auto val="1"/>
        <c:lblAlgn val="ctr"/>
        <c:lblOffset val="100"/>
        <c:noMultiLvlLbl val="0"/>
      </c:catAx>
      <c:valAx>
        <c:axId val="1485241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3680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FTP Upload Throughput (Mbps)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Input!$B$10</c:f>
              <c:strCache>
                <c:ptCount val="1"/>
                <c:pt idx="0">
                  <c:v>Average Upload Speed (Mbps)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70-42AF-9923-63C0AB53F9C5}"/>
              </c:ext>
            </c:extLst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70-42AF-9923-63C0AB53F9C5}"/>
              </c:ext>
            </c:extLst>
          </c:dPt>
          <c:dPt>
            <c:idx val="2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70-42AF-9923-63C0AB53F9C5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70-42AF-9923-63C0AB53F9C5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70-42AF-9923-63C0AB53F9C5}"/>
              </c:ext>
            </c:extLst>
          </c:dPt>
          <c:dPt>
            <c:idx val="5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3E9-4B8A-B6EE-E5909C835E5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Input!$C$1:$H$1</c:f>
              <c:strCache>
                <c:ptCount val="5"/>
                <c:pt idx="0">
                  <c:v>3</c:v>
                </c:pt>
                <c:pt idx="1">
                  <c:v>Indosat Ooredoo</c:v>
                </c:pt>
                <c:pt idx="2">
                  <c:v>Smartfren</c:v>
                </c:pt>
                <c:pt idx="3">
                  <c:v>Telkomsel</c:v>
                </c:pt>
                <c:pt idx="4">
                  <c:v>XL</c:v>
                </c:pt>
              </c:strCache>
            </c:strRef>
          </c:cat>
          <c:val>
            <c:numRef>
              <c:f>Input!$C$10:$H$10</c:f>
              <c:numCache>
                <c:formatCode>0.00</c:formatCode>
                <c:ptCount val="6"/>
                <c:pt idx="0">
                  <c:v>18.252908799999997</c:v>
                </c:pt>
                <c:pt idx="1">
                  <c:v>24.240184000000003</c:v>
                </c:pt>
                <c:pt idx="2">
                  <c:v>4.2807386666666671</c:v>
                </c:pt>
                <c:pt idx="3">
                  <c:v>27.960675199999997</c:v>
                </c:pt>
                <c:pt idx="4">
                  <c:v>19.197822399999996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470-42AF-9923-63C0AB53F9C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573680224"/>
        <c:axId val="1485241792"/>
      </c:barChart>
      <c:catAx>
        <c:axId val="15736802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5241792"/>
        <c:crosses val="autoZero"/>
        <c:auto val="1"/>
        <c:lblAlgn val="ctr"/>
        <c:lblOffset val="100"/>
        <c:noMultiLvlLbl val="0"/>
      </c:catAx>
      <c:valAx>
        <c:axId val="1485241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3680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FTP Download Success Rate (%)</a:t>
            </a:r>
          </a:p>
        </c:rich>
      </c:tx>
      <c:layout>
        <c:manualLayout>
          <c:xMode val="edge"/>
          <c:yMode val="edge"/>
          <c:x val="0.23772222222222222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Input!$B$5</c:f>
              <c:strCache>
                <c:ptCount val="1"/>
                <c:pt idx="0">
                  <c:v>FTP Download Success Rate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70-42AF-9923-63C0AB53F9C5}"/>
              </c:ext>
            </c:extLst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70-42AF-9923-63C0AB53F9C5}"/>
              </c:ext>
            </c:extLst>
          </c:dPt>
          <c:dPt>
            <c:idx val="2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70-42AF-9923-63C0AB53F9C5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70-42AF-9923-63C0AB53F9C5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70-42AF-9923-63C0AB53F9C5}"/>
              </c:ext>
            </c:extLst>
          </c:dPt>
          <c:dPt>
            <c:idx val="5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3E9-4B8A-B6EE-E5909C835E5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Input!$C$1:$H$1</c:f>
              <c:strCache>
                <c:ptCount val="5"/>
                <c:pt idx="0">
                  <c:v>3</c:v>
                </c:pt>
                <c:pt idx="1">
                  <c:v>Indosat Ooredoo</c:v>
                </c:pt>
                <c:pt idx="2">
                  <c:v>Smartfren</c:v>
                </c:pt>
                <c:pt idx="3">
                  <c:v>Telkomsel</c:v>
                </c:pt>
                <c:pt idx="4">
                  <c:v>XL</c:v>
                </c:pt>
              </c:strCache>
            </c:strRef>
          </c:cat>
          <c:val>
            <c:numRef>
              <c:f>Input!$C$5:$H$5</c:f>
              <c:numCache>
                <c:formatCode>0.00</c:formatCode>
                <c:ptCount val="6"/>
                <c:pt idx="0">
                  <c:v>80</c:v>
                </c:pt>
                <c:pt idx="1">
                  <c:v>80</c:v>
                </c:pt>
                <c:pt idx="2">
                  <c:v>60</c:v>
                </c:pt>
                <c:pt idx="3">
                  <c:v>100</c:v>
                </c:pt>
                <c:pt idx="4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470-42AF-9923-63C0AB53F9C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573680224"/>
        <c:axId val="1485241792"/>
      </c:barChart>
      <c:catAx>
        <c:axId val="15736802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5241792"/>
        <c:crosses val="autoZero"/>
        <c:auto val="1"/>
        <c:lblAlgn val="ctr"/>
        <c:lblOffset val="100"/>
        <c:noMultiLvlLbl val="0"/>
      </c:catAx>
      <c:valAx>
        <c:axId val="1485241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3680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FTP Upload Success Rate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Input!$B$9</c:f>
              <c:strCache>
                <c:ptCount val="1"/>
                <c:pt idx="0">
                  <c:v>FTP Upload Success Rate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70-42AF-9923-63C0AB53F9C5}"/>
              </c:ext>
            </c:extLst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70-42AF-9923-63C0AB53F9C5}"/>
              </c:ext>
            </c:extLst>
          </c:dPt>
          <c:dPt>
            <c:idx val="2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70-42AF-9923-63C0AB53F9C5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70-42AF-9923-63C0AB53F9C5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70-42AF-9923-63C0AB53F9C5}"/>
              </c:ext>
            </c:extLst>
          </c:dPt>
          <c:dPt>
            <c:idx val="5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3E9-4B8A-B6EE-E5909C835E5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Input!$C$1:$H$1</c:f>
              <c:strCache>
                <c:ptCount val="5"/>
                <c:pt idx="0">
                  <c:v>3</c:v>
                </c:pt>
                <c:pt idx="1">
                  <c:v>Indosat Ooredoo</c:v>
                </c:pt>
                <c:pt idx="2">
                  <c:v>Smartfren</c:v>
                </c:pt>
                <c:pt idx="3">
                  <c:v>Telkomsel</c:v>
                </c:pt>
                <c:pt idx="4">
                  <c:v>XL</c:v>
                </c:pt>
              </c:strCache>
            </c:strRef>
          </c:cat>
          <c:val>
            <c:numRef>
              <c:f>Input!$C$9:$H$9</c:f>
              <c:numCache>
                <c:formatCode>0.00</c:formatCode>
                <c:ptCount val="6"/>
                <c:pt idx="0">
                  <c:v>100</c:v>
                </c:pt>
                <c:pt idx="1">
                  <c:v>100</c:v>
                </c:pt>
                <c:pt idx="2">
                  <c:v>75</c:v>
                </c:pt>
                <c:pt idx="3">
                  <c:v>100</c:v>
                </c:pt>
                <c:pt idx="4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470-42AF-9923-63C0AB53F9C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573680224"/>
        <c:axId val="1485241792"/>
      </c:barChart>
      <c:catAx>
        <c:axId val="15736802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5241792"/>
        <c:crosses val="autoZero"/>
        <c:auto val="1"/>
        <c:lblAlgn val="ctr"/>
        <c:lblOffset val="100"/>
        <c:noMultiLvlLbl val="0"/>
      </c:catAx>
      <c:valAx>
        <c:axId val="1485241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3680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 b="1" i="0" baseline="0">
                <a:effectLst/>
              </a:rPr>
              <a:t>RSRP vs RSRQ vs FTP DL Throughput 3 (Mbps)</a:t>
            </a:r>
            <a:endParaRPr lang="id-ID" sz="11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'Scattering Plot FTP DL 4G'!$AT$1</c:f>
              <c:strCache>
                <c:ptCount val="1"/>
                <c:pt idx="0">
                  <c:v>&gt;=25 Mbps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6">
                  <a:lumMod val="75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'Scattering Plot FTP DL 4G'!$AR$2:$AR$3</c:f>
              <c:numCache>
                <c:formatCode>General</c:formatCode>
                <c:ptCount val="2"/>
                <c:pt idx="0">
                  <c:v>-76.599999999999994</c:v>
                </c:pt>
                <c:pt idx="1">
                  <c:v>-97</c:v>
                </c:pt>
              </c:numCache>
            </c:numRef>
          </c:xVal>
          <c:yVal>
            <c:numRef>
              <c:f>'Scattering Plot FTP DL 4G'!$AT$2:$AT$3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82-4812-BD47-03D93281C751}"/>
            </c:ext>
          </c:extLst>
        </c:ser>
        <c:ser>
          <c:idx val="1"/>
          <c:order val="1"/>
          <c:tx>
            <c:strRef>
              <c:f>'Scattering Plot FTP DL 4G'!$AU$1</c:f>
              <c:strCache>
                <c:ptCount val="1"/>
                <c:pt idx="0">
                  <c:v>&gt;=20 and &lt;25 Mbps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rgbClr val="92D050"/>
              </a:solidFill>
              <a:ln w="9525">
                <a:noFill/>
              </a:ln>
              <a:effectLst/>
            </c:spPr>
          </c:marker>
          <c:xVal>
            <c:numRef>
              <c:f>'Scattering Plot FTP DL 4G'!$AR$2:$AR$3</c:f>
              <c:numCache>
                <c:formatCode>General</c:formatCode>
                <c:ptCount val="2"/>
                <c:pt idx="0">
                  <c:v>-76.599999999999994</c:v>
                </c:pt>
                <c:pt idx="1">
                  <c:v>-97</c:v>
                </c:pt>
              </c:numCache>
            </c:numRef>
          </c:xVal>
          <c:yVal>
            <c:numRef>
              <c:f>'Scattering Plot FTP DL 4G'!$AU$2:$AU$3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82-4812-BD47-03D93281C751}"/>
            </c:ext>
          </c:extLst>
        </c:ser>
        <c:ser>
          <c:idx val="2"/>
          <c:order val="2"/>
          <c:tx>
            <c:strRef>
              <c:f>'Scattering Plot FTP DL 4G'!$AV$1</c:f>
              <c:strCache>
                <c:ptCount val="1"/>
                <c:pt idx="0">
                  <c:v>&gt;=7 and &lt;20 Mbps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rgbClr val="FFFF00"/>
              </a:solidFill>
              <a:ln w="9525">
                <a:noFill/>
              </a:ln>
              <a:effectLst/>
            </c:spPr>
          </c:marker>
          <c:xVal>
            <c:numRef>
              <c:f>'Scattering Plot FTP DL 4G'!$AR$2:$AR$3</c:f>
              <c:numCache>
                <c:formatCode>General</c:formatCode>
                <c:ptCount val="2"/>
                <c:pt idx="0">
                  <c:v>-76.599999999999994</c:v>
                </c:pt>
                <c:pt idx="1">
                  <c:v>-97</c:v>
                </c:pt>
              </c:numCache>
            </c:numRef>
          </c:xVal>
          <c:yVal>
            <c:numRef>
              <c:f>'Scattering Plot FTP DL 4G'!$AV$2:$AV$3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82-4812-BD47-03D93281C751}"/>
            </c:ext>
          </c:extLst>
        </c:ser>
        <c:ser>
          <c:idx val="3"/>
          <c:order val="3"/>
          <c:tx>
            <c:strRef>
              <c:f>'Scattering Plot FTP DL 4G'!$AW$1</c:f>
              <c:strCache>
                <c:ptCount val="1"/>
                <c:pt idx="0">
                  <c:v>&gt;=5 and &lt;7 Mbps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'Scattering Plot FTP DL 4G'!$AR$2:$AR$3</c:f>
              <c:numCache>
                <c:formatCode>General</c:formatCode>
                <c:ptCount val="2"/>
                <c:pt idx="0">
                  <c:v>-76.599999999999994</c:v>
                </c:pt>
                <c:pt idx="1">
                  <c:v>-97</c:v>
                </c:pt>
              </c:numCache>
            </c:numRef>
          </c:xVal>
          <c:yVal>
            <c:numRef>
              <c:f>'Scattering Plot FTP DL 4G'!$AW$2:$AW$3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E82-4812-BD47-03D93281C751}"/>
            </c:ext>
          </c:extLst>
        </c:ser>
        <c:ser>
          <c:idx val="4"/>
          <c:order val="4"/>
          <c:tx>
            <c:strRef>
              <c:f>'Scattering Plot FTP DL 4G'!$AX$1</c:f>
              <c:strCache>
                <c:ptCount val="1"/>
                <c:pt idx="0">
                  <c:v>&gt;=1 and &lt;5 Mbps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'Scattering Plot FTP DL 4G'!$AR$2:$AR$3</c:f>
              <c:numCache>
                <c:formatCode>General</c:formatCode>
                <c:ptCount val="2"/>
                <c:pt idx="0">
                  <c:v>-76.599999999999994</c:v>
                </c:pt>
                <c:pt idx="1">
                  <c:v>-97</c:v>
                </c:pt>
              </c:numCache>
            </c:numRef>
          </c:xVal>
          <c:yVal>
            <c:numRef>
              <c:f>'Scattering Plot FTP DL 4G'!$AX$2:$AX$3</c:f>
              <c:numCache>
                <c:formatCode>General</c:formatCode>
                <c:ptCount val="2"/>
                <c:pt idx="0">
                  <c:v>-7.2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E82-4812-BD47-03D93281C751}"/>
            </c:ext>
          </c:extLst>
        </c:ser>
        <c:ser>
          <c:idx val="5"/>
          <c:order val="5"/>
          <c:tx>
            <c:strRef>
              <c:f>'Scattering Plot FTP DL 4G'!$AY$1</c:f>
              <c:strCache>
                <c:ptCount val="1"/>
                <c:pt idx="0">
                  <c:v>&lt;1 Mbps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'Scattering Plot FTP DL 4G'!$AR$2:$AR$3</c:f>
              <c:numCache>
                <c:formatCode>General</c:formatCode>
                <c:ptCount val="2"/>
                <c:pt idx="0">
                  <c:v>-76.599999999999994</c:v>
                </c:pt>
                <c:pt idx="1">
                  <c:v>-97</c:v>
                </c:pt>
              </c:numCache>
            </c:numRef>
          </c:xVal>
          <c:yVal>
            <c:numRef>
              <c:f>'Scattering Plot FTP DL 4G'!$AY$2:$AY$3</c:f>
              <c:numCache>
                <c:formatCode>General</c:formatCode>
                <c:ptCount val="2"/>
                <c:pt idx="0">
                  <c:v>#N/A</c:v>
                </c:pt>
                <c:pt idx="1">
                  <c:v>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E82-4812-BD47-03D93281C7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5685464"/>
        <c:axId val="645678576"/>
      </c:scatterChart>
      <c:valAx>
        <c:axId val="645685464"/>
        <c:scaling>
          <c:orientation val="minMax"/>
          <c:max val="-50"/>
          <c:min val="-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RSRP</a:t>
                </a:r>
                <a:endParaRPr lang="id-ID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678576"/>
        <c:crosses val="autoZero"/>
        <c:crossBetween val="midCat"/>
        <c:majorUnit val="5"/>
      </c:valAx>
      <c:valAx>
        <c:axId val="645678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RSRQ</a:t>
                </a:r>
                <a:endParaRPr lang="id-ID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6854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 b="1" i="0" baseline="0">
                <a:effectLst/>
              </a:rPr>
              <a:t>RSRP vs RSRQ vs FTP DL Throughput Telkomsel (Mbps)</a:t>
            </a:r>
            <a:endParaRPr lang="id-ID" sz="11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'Scattering Plot FTP DL 4G'!$CT$1</c:f>
              <c:strCache>
                <c:ptCount val="1"/>
                <c:pt idx="0">
                  <c:v>&gt;=25 Mbps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6">
                  <a:lumMod val="75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'Scattering Plot FTP DL 4G'!$CR$2:$CR$4</c:f>
              <c:numCache>
                <c:formatCode>General</c:formatCode>
                <c:ptCount val="3"/>
                <c:pt idx="0">
                  <c:v>-84.2</c:v>
                </c:pt>
                <c:pt idx="1">
                  <c:v>-88.3</c:v>
                </c:pt>
                <c:pt idx="2">
                  <c:v>-88.3</c:v>
                </c:pt>
              </c:numCache>
            </c:numRef>
          </c:xVal>
          <c:yVal>
            <c:numRef>
              <c:f>'Scattering Plot FTP DL 4G'!$CT$2:$CT$4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CE-4C94-A2B5-B6D87E863D13}"/>
            </c:ext>
          </c:extLst>
        </c:ser>
        <c:ser>
          <c:idx val="1"/>
          <c:order val="1"/>
          <c:tx>
            <c:strRef>
              <c:f>'Scattering Plot FTP DL 4G'!$CU$1</c:f>
              <c:strCache>
                <c:ptCount val="1"/>
                <c:pt idx="0">
                  <c:v>&gt;=20 and &lt;25 Mbps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rgbClr val="92D050"/>
              </a:solidFill>
              <a:ln w="9525">
                <a:noFill/>
              </a:ln>
              <a:effectLst/>
            </c:spPr>
          </c:marker>
          <c:xVal>
            <c:numRef>
              <c:f>'Scattering Plot FTP DL 4G'!$CR$2:$CR$4</c:f>
              <c:numCache>
                <c:formatCode>General</c:formatCode>
                <c:ptCount val="3"/>
                <c:pt idx="0">
                  <c:v>-84.2</c:v>
                </c:pt>
                <c:pt idx="1">
                  <c:v>-88.3</c:v>
                </c:pt>
                <c:pt idx="2">
                  <c:v>-88.3</c:v>
                </c:pt>
              </c:numCache>
            </c:numRef>
          </c:xVal>
          <c:yVal>
            <c:numRef>
              <c:f>'Scattering Plot FTP DL 4G'!$CU$2:$CU$4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4CE-4C94-A2B5-B6D87E863D13}"/>
            </c:ext>
          </c:extLst>
        </c:ser>
        <c:ser>
          <c:idx val="2"/>
          <c:order val="2"/>
          <c:tx>
            <c:strRef>
              <c:f>'Scattering Plot FTP DL 4G'!$CV$1</c:f>
              <c:strCache>
                <c:ptCount val="1"/>
                <c:pt idx="0">
                  <c:v>&gt;=7 and &lt;20 Mbps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rgbClr val="FFFF00"/>
              </a:solidFill>
              <a:ln w="9525">
                <a:noFill/>
              </a:ln>
              <a:effectLst/>
            </c:spPr>
          </c:marker>
          <c:xVal>
            <c:numRef>
              <c:f>'Scattering Plot FTP DL 4G'!$CR$2:$CR$4</c:f>
              <c:numCache>
                <c:formatCode>General</c:formatCode>
                <c:ptCount val="3"/>
                <c:pt idx="0">
                  <c:v>-84.2</c:v>
                </c:pt>
                <c:pt idx="1">
                  <c:v>-88.3</c:v>
                </c:pt>
                <c:pt idx="2">
                  <c:v>-88.3</c:v>
                </c:pt>
              </c:numCache>
            </c:numRef>
          </c:xVal>
          <c:yVal>
            <c:numRef>
              <c:f>'Scattering Plot FTP DL 4G'!$CV$2:$CV$4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4CE-4C94-A2B5-B6D87E863D13}"/>
            </c:ext>
          </c:extLst>
        </c:ser>
        <c:ser>
          <c:idx val="3"/>
          <c:order val="3"/>
          <c:tx>
            <c:strRef>
              <c:f>'Scattering Plot FTP DL 4G'!$CW$1</c:f>
              <c:strCache>
                <c:ptCount val="1"/>
                <c:pt idx="0">
                  <c:v>&gt;=5 and &lt;7 Mbps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'Scattering Plot FTP DL 4G'!$CR$2:$CR$4</c:f>
              <c:numCache>
                <c:formatCode>General</c:formatCode>
                <c:ptCount val="3"/>
                <c:pt idx="0">
                  <c:v>-84.2</c:v>
                </c:pt>
                <c:pt idx="1">
                  <c:v>-88.3</c:v>
                </c:pt>
                <c:pt idx="2">
                  <c:v>-88.3</c:v>
                </c:pt>
              </c:numCache>
            </c:numRef>
          </c:xVal>
          <c:yVal>
            <c:numRef>
              <c:f>'Scattering Plot FTP DL 4G'!$CW$2:$CW$4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4CE-4C94-A2B5-B6D87E863D13}"/>
            </c:ext>
          </c:extLst>
        </c:ser>
        <c:ser>
          <c:idx val="4"/>
          <c:order val="4"/>
          <c:tx>
            <c:strRef>
              <c:f>'Scattering Plot FTP DL 4G'!$CX$1</c:f>
              <c:strCache>
                <c:ptCount val="1"/>
                <c:pt idx="0">
                  <c:v>&gt;=1 and &lt;5 Mbps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'Scattering Plot FTP DL 4G'!$CR$2:$CR$4</c:f>
              <c:numCache>
                <c:formatCode>General</c:formatCode>
                <c:ptCount val="3"/>
                <c:pt idx="0">
                  <c:v>-84.2</c:v>
                </c:pt>
                <c:pt idx="1">
                  <c:v>-88.3</c:v>
                </c:pt>
                <c:pt idx="2">
                  <c:v>-88.3</c:v>
                </c:pt>
              </c:numCache>
            </c:numRef>
          </c:xVal>
          <c:yVal>
            <c:numRef>
              <c:f>'Scattering Plot FTP DL 4G'!$CX$2:$CX$4</c:f>
              <c:numCache>
                <c:formatCode>General</c:formatCode>
                <c:ptCount val="3"/>
                <c:pt idx="0">
                  <c:v>#N/A</c:v>
                </c:pt>
                <c:pt idx="1">
                  <c:v>-10</c:v>
                </c:pt>
                <c:pt idx="2">
                  <c:v>-12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4CE-4C94-A2B5-B6D87E863D13}"/>
            </c:ext>
          </c:extLst>
        </c:ser>
        <c:ser>
          <c:idx val="5"/>
          <c:order val="5"/>
          <c:tx>
            <c:strRef>
              <c:f>'Scattering Plot FTP DL 4G'!$CY$1</c:f>
              <c:strCache>
                <c:ptCount val="1"/>
                <c:pt idx="0">
                  <c:v>&lt;1 Mbps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'Scattering Plot FTP DL 4G'!$CR$2:$CR$4</c:f>
              <c:numCache>
                <c:formatCode>General</c:formatCode>
                <c:ptCount val="3"/>
                <c:pt idx="0">
                  <c:v>-84.2</c:v>
                </c:pt>
                <c:pt idx="1">
                  <c:v>-88.3</c:v>
                </c:pt>
                <c:pt idx="2">
                  <c:v>-88.3</c:v>
                </c:pt>
              </c:numCache>
            </c:numRef>
          </c:xVal>
          <c:yVal>
            <c:numRef>
              <c:f>'Scattering Plot FTP DL 4G'!$CY$2:$CY$4</c:f>
              <c:numCache>
                <c:formatCode>General</c:formatCode>
                <c:ptCount val="3"/>
                <c:pt idx="0">
                  <c:v>-8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4CE-4C94-A2B5-B6D87E863D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5685464"/>
        <c:axId val="645678576"/>
      </c:scatterChart>
      <c:valAx>
        <c:axId val="645685464"/>
        <c:scaling>
          <c:orientation val="minMax"/>
          <c:max val="-50"/>
          <c:min val="-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baseline="0">
                    <a:effectLst/>
                  </a:rPr>
                  <a:t>RSRP</a:t>
                </a:r>
                <a:endParaRPr lang="id-ID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678576"/>
        <c:crosses val="autoZero"/>
        <c:crossBetween val="midCat"/>
        <c:majorUnit val="5"/>
      </c:valAx>
      <c:valAx>
        <c:axId val="645678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baseline="0">
                    <a:effectLst/>
                  </a:rPr>
                  <a:t>RSRQ</a:t>
                </a:r>
                <a:endParaRPr lang="id-ID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6854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 b="1" i="0" baseline="0">
                <a:effectLst/>
              </a:rPr>
              <a:t>RSRP vs RSRQ vs FTP DL Throughput Indosat (Mbps)</a:t>
            </a:r>
            <a:endParaRPr lang="id-ID" sz="11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'Scattering Plot FTP DL 4G'!$AT$1</c:f>
              <c:strCache>
                <c:ptCount val="1"/>
                <c:pt idx="0">
                  <c:v>&gt;=25 Mbps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6">
                  <a:lumMod val="75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'Scattering Plot FTP DL 4G'!$AR$2:$AR$3</c:f>
              <c:numCache>
                <c:formatCode>General</c:formatCode>
                <c:ptCount val="2"/>
                <c:pt idx="0">
                  <c:v>-76.599999999999994</c:v>
                </c:pt>
                <c:pt idx="1">
                  <c:v>-97</c:v>
                </c:pt>
              </c:numCache>
            </c:numRef>
          </c:xVal>
          <c:yVal>
            <c:numRef>
              <c:f>'Scattering Plot FTP DL 4G'!$AT$2:$AT$3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B7-412C-8661-FA427324BBB2}"/>
            </c:ext>
          </c:extLst>
        </c:ser>
        <c:ser>
          <c:idx val="1"/>
          <c:order val="1"/>
          <c:tx>
            <c:strRef>
              <c:f>'Scattering Plot FTP DL 4G'!$AU$1</c:f>
              <c:strCache>
                <c:ptCount val="1"/>
                <c:pt idx="0">
                  <c:v>&gt;=20 and &lt;25 Mbps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rgbClr val="92D050"/>
              </a:solidFill>
              <a:ln w="9525">
                <a:noFill/>
              </a:ln>
              <a:effectLst/>
            </c:spPr>
          </c:marker>
          <c:xVal>
            <c:numRef>
              <c:f>'Scattering Plot FTP DL 4G'!$AR$2:$AR$3</c:f>
              <c:numCache>
                <c:formatCode>General</c:formatCode>
                <c:ptCount val="2"/>
                <c:pt idx="0">
                  <c:v>-76.599999999999994</c:v>
                </c:pt>
                <c:pt idx="1">
                  <c:v>-97</c:v>
                </c:pt>
              </c:numCache>
            </c:numRef>
          </c:xVal>
          <c:yVal>
            <c:numRef>
              <c:f>'Scattering Plot FTP DL 4G'!$AU$2:$AU$3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EB7-412C-8661-FA427324BBB2}"/>
            </c:ext>
          </c:extLst>
        </c:ser>
        <c:ser>
          <c:idx val="2"/>
          <c:order val="2"/>
          <c:tx>
            <c:strRef>
              <c:f>'Scattering Plot FTP DL 4G'!$AV$1</c:f>
              <c:strCache>
                <c:ptCount val="1"/>
                <c:pt idx="0">
                  <c:v>&gt;=7 and &lt;20 Mbps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rgbClr val="FFFF00"/>
              </a:solidFill>
              <a:ln w="9525">
                <a:noFill/>
              </a:ln>
              <a:effectLst/>
            </c:spPr>
          </c:marker>
          <c:xVal>
            <c:numRef>
              <c:f>'Scattering Plot FTP DL 4G'!$AR$2:$AR$3</c:f>
              <c:numCache>
                <c:formatCode>General</c:formatCode>
                <c:ptCount val="2"/>
                <c:pt idx="0">
                  <c:v>-76.599999999999994</c:v>
                </c:pt>
                <c:pt idx="1">
                  <c:v>-97</c:v>
                </c:pt>
              </c:numCache>
            </c:numRef>
          </c:xVal>
          <c:yVal>
            <c:numRef>
              <c:f>'Scattering Plot FTP DL 4G'!$AV$2:$AV$3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EB7-412C-8661-FA427324BBB2}"/>
            </c:ext>
          </c:extLst>
        </c:ser>
        <c:ser>
          <c:idx val="3"/>
          <c:order val="3"/>
          <c:tx>
            <c:strRef>
              <c:f>'Scattering Plot FTP DL 4G'!$AW$1</c:f>
              <c:strCache>
                <c:ptCount val="1"/>
                <c:pt idx="0">
                  <c:v>&gt;=5 and &lt;7 Mbps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'Scattering Plot FTP DL 4G'!$AR$2:$AR$3</c:f>
              <c:numCache>
                <c:formatCode>General</c:formatCode>
                <c:ptCount val="2"/>
                <c:pt idx="0">
                  <c:v>-76.599999999999994</c:v>
                </c:pt>
                <c:pt idx="1">
                  <c:v>-97</c:v>
                </c:pt>
              </c:numCache>
            </c:numRef>
          </c:xVal>
          <c:yVal>
            <c:numRef>
              <c:f>'Scattering Plot FTP DL 4G'!$AW$2:$AW$3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EB7-412C-8661-FA427324BBB2}"/>
            </c:ext>
          </c:extLst>
        </c:ser>
        <c:ser>
          <c:idx val="4"/>
          <c:order val="4"/>
          <c:tx>
            <c:strRef>
              <c:f>'Scattering Plot FTP DL 4G'!$AX$1</c:f>
              <c:strCache>
                <c:ptCount val="1"/>
                <c:pt idx="0">
                  <c:v>&gt;=1 and &lt;5 Mbps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'Scattering Plot FTP DL 4G'!$AR$2:$AR$3</c:f>
              <c:numCache>
                <c:formatCode>General</c:formatCode>
                <c:ptCount val="2"/>
                <c:pt idx="0">
                  <c:v>-76.599999999999994</c:v>
                </c:pt>
                <c:pt idx="1">
                  <c:v>-97</c:v>
                </c:pt>
              </c:numCache>
            </c:numRef>
          </c:xVal>
          <c:yVal>
            <c:numRef>
              <c:f>'Scattering Plot FTP DL 4G'!$AX$2:$AX$3</c:f>
              <c:numCache>
                <c:formatCode>General</c:formatCode>
                <c:ptCount val="2"/>
                <c:pt idx="0">
                  <c:v>-7.2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EB7-412C-8661-FA427324BBB2}"/>
            </c:ext>
          </c:extLst>
        </c:ser>
        <c:ser>
          <c:idx val="5"/>
          <c:order val="5"/>
          <c:tx>
            <c:strRef>
              <c:f>'Scattering Plot FTP DL 4G'!$AY$1</c:f>
              <c:strCache>
                <c:ptCount val="1"/>
                <c:pt idx="0">
                  <c:v>&lt;1 Mbps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'Scattering Plot FTP DL 4G'!$AR$2:$AR$3</c:f>
              <c:numCache>
                <c:formatCode>General</c:formatCode>
                <c:ptCount val="2"/>
                <c:pt idx="0">
                  <c:v>-76.599999999999994</c:v>
                </c:pt>
                <c:pt idx="1">
                  <c:v>-97</c:v>
                </c:pt>
              </c:numCache>
            </c:numRef>
          </c:xVal>
          <c:yVal>
            <c:numRef>
              <c:f>'Scattering Plot FTP DL 4G'!$AY$2:$AY$3</c:f>
              <c:numCache>
                <c:formatCode>General</c:formatCode>
                <c:ptCount val="2"/>
                <c:pt idx="0">
                  <c:v>#N/A</c:v>
                </c:pt>
                <c:pt idx="1">
                  <c:v>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EB7-412C-8661-FA427324BB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5685464"/>
        <c:axId val="645678576"/>
      </c:scatterChart>
      <c:valAx>
        <c:axId val="645685464"/>
        <c:scaling>
          <c:orientation val="minMax"/>
          <c:max val="-50"/>
          <c:min val="-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RSRP</a:t>
                </a:r>
                <a:endParaRPr lang="id-ID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678576"/>
        <c:crosses val="autoZero"/>
        <c:crossBetween val="midCat"/>
        <c:majorUnit val="5"/>
      </c:valAx>
      <c:valAx>
        <c:axId val="645678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RSRQ</a:t>
                </a:r>
                <a:endParaRPr lang="id-ID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6854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 b="1" i="0" baseline="0">
                <a:effectLst/>
              </a:rPr>
              <a:t>RSRP vs RSRQ vs FTP DL Throughput XL (Mbps)</a:t>
            </a:r>
            <a:endParaRPr lang="id-ID" sz="11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'Scattering Plot FTP DL 4G'!$AT$1</c:f>
              <c:strCache>
                <c:ptCount val="1"/>
                <c:pt idx="0">
                  <c:v>&gt;=25 Mbps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6">
                  <a:lumMod val="75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'Scattering Plot FTP DL 4G'!$AR$2:$AR$3</c:f>
              <c:numCache>
                <c:formatCode>General</c:formatCode>
                <c:ptCount val="2"/>
                <c:pt idx="0">
                  <c:v>-76.599999999999994</c:v>
                </c:pt>
                <c:pt idx="1">
                  <c:v>-97</c:v>
                </c:pt>
              </c:numCache>
            </c:numRef>
          </c:xVal>
          <c:yVal>
            <c:numRef>
              <c:f>'Scattering Plot FTP DL 4G'!$AT$2:$AT$3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C4-4884-9508-6D27BA85EA57}"/>
            </c:ext>
          </c:extLst>
        </c:ser>
        <c:ser>
          <c:idx val="1"/>
          <c:order val="1"/>
          <c:tx>
            <c:strRef>
              <c:f>'Scattering Plot FTP DL 4G'!$AU$1</c:f>
              <c:strCache>
                <c:ptCount val="1"/>
                <c:pt idx="0">
                  <c:v>&gt;=20 and &lt;25 Mbps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rgbClr val="92D050"/>
              </a:solidFill>
              <a:ln w="9525">
                <a:noFill/>
              </a:ln>
              <a:effectLst/>
            </c:spPr>
          </c:marker>
          <c:xVal>
            <c:numRef>
              <c:f>'Scattering Plot FTP DL 4G'!$AR$2:$AR$3</c:f>
              <c:numCache>
                <c:formatCode>General</c:formatCode>
                <c:ptCount val="2"/>
                <c:pt idx="0">
                  <c:v>-76.599999999999994</c:v>
                </c:pt>
                <c:pt idx="1">
                  <c:v>-97</c:v>
                </c:pt>
              </c:numCache>
            </c:numRef>
          </c:xVal>
          <c:yVal>
            <c:numRef>
              <c:f>'Scattering Plot FTP DL 4G'!$AU$2:$AU$3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C4-4884-9508-6D27BA85EA57}"/>
            </c:ext>
          </c:extLst>
        </c:ser>
        <c:ser>
          <c:idx val="2"/>
          <c:order val="2"/>
          <c:tx>
            <c:strRef>
              <c:f>'Scattering Plot FTP DL 4G'!$AV$1</c:f>
              <c:strCache>
                <c:ptCount val="1"/>
                <c:pt idx="0">
                  <c:v>&gt;=7 and &lt;20 Mbps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rgbClr val="FFFF00"/>
              </a:solidFill>
              <a:ln w="9525">
                <a:noFill/>
              </a:ln>
              <a:effectLst/>
            </c:spPr>
          </c:marker>
          <c:xVal>
            <c:numRef>
              <c:f>'Scattering Plot FTP DL 4G'!$AR$2:$AR$3</c:f>
              <c:numCache>
                <c:formatCode>General</c:formatCode>
                <c:ptCount val="2"/>
                <c:pt idx="0">
                  <c:v>-76.599999999999994</c:v>
                </c:pt>
                <c:pt idx="1">
                  <c:v>-97</c:v>
                </c:pt>
              </c:numCache>
            </c:numRef>
          </c:xVal>
          <c:yVal>
            <c:numRef>
              <c:f>'Scattering Plot FTP DL 4G'!$AV$2:$AV$3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CC4-4884-9508-6D27BA85EA57}"/>
            </c:ext>
          </c:extLst>
        </c:ser>
        <c:ser>
          <c:idx val="3"/>
          <c:order val="3"/>
          <c:tx>
            <c:strRef>
              <c:f>'Scattering Plot FTP DL 4G'!$AW$1</c:f>
              <c:strCache>
                <c:ptCount val="1"/>
                <c:pt idx="0">
                  <c:v>&gt;=5 and &lt;7 Mbps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'Scattering Plot FTP DL 4G'!$AR$2:$AR$3</c:f>
              <c:numCache>
                <c:formatCode>General</c:formatCode>
                <c:ptCount val="2"/>
                <c:pt idx="0">
                  <c:v>-76.599999999999994</c:v>
                </c:pt>
                <c:pt idx="1">
                  <c:v>-97</c:v>
                </c:pt>
              </c:numCache>
            </c:numRef>
          </c:xVal>
          <c:yVal>
            <c:numRef>
              <c:f>'Scattering Plot FTP DL 4G'!$AW$2:$AW$3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CC4-4884-9508-6D27BA85EA57}"/>
            </c:ext>
          </c:extLst>
        </c:ser>
        <c:ser>
          <c:idx val="4"/>
          <c:order val="4"/>
          <c:tx>
            <c:strRef>
              <c:f>'Scattering Plot FTP DL 4G'!$AX$1</c:f>
              <c:strCache>
                <c:ptCount val="1"/>
                <c:pt idx="0">
                  <c:v>&gt;=1 and &lt;5 Mbps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'Scattering Plot FTP DL 4G'!$AR$2:$AR$3</c:f>
              <c:numCache>
                <c:formatCode>General</c:formatCode>
                <c:ptCount val="2"/>
                <c:pt idx="0">
                  <c:v>-76.599999999999994</c:v>
                </c:pt>
                <c:pt idx="1">
                  <c:v>-97</c:v>
                </c:pt>
              </c:numCache>
            </c:numRef>
          </c:xVal>
          <c:yVal>
            <c:numRef>
              <c:f>'Scattering Plot FTP DL 4G'!$AX$2:$AX$3</c:f>
              <c:numCache>
                <c:formatCode>General</c:formatCode>
                <c:ptCount val="2"/>
                <c:pt idx="0">
                  <c:v>-7.2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CC4-4884-9508-6D27BA85EA57}"/>
            </c:ext>
          </c:extLst>
        </c:ser>
        <c:ser>
          <c:idx val="5"/>
          <c:order val="5"/>
          <c:tx>
            <c:strRef>
              <c:f>'Scattering Plot FTP DL 4G'!$AY$1</c:f>
              <c:strCache>
                <c:ptCount val="1"/>
                <c:pt idx="0">
                  <c:v>&lt;1 Mbps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'Scattering Plot FTP DL 4G'!$AR$2:$AR$3</c:f>
              <c:numCache>
                <c:formatCode>General</c:formatCode>
                <c:ptCount val="2"/>
                <c:pt idx="0">
                  <c:v>-76.599999999999994</c:v>
                </c:pt>
                <c:pt idx="1">
                  <c:v>-97</c:v>
                </c:pt>
              </c:numCache>
            </c:numRef>
          </c:xVal>
          <c:yVal>
            <c:numRef>
              <c:f>'Scattering Plot FTP DL 4G'!$AY$2:$AY$3</c:f>
              <c:numCache>
                <c:formatCode>General</c:formatCode>
                <c:ptCount val="2"/>
                <c:pt idx="0">
                  <c:v>#N/A</c:v>
                </c:pt>
                <c:pt idx="1">
                  <c:v>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CC4-4884-9508-6D27BA85EA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5685464"/>
        <c:axId val="645678576"/>
      </c:scatterChart>
      <c:valAx>
        <c:axId val="645685464"/>
        <c:scaling>
          <c:orientation val="minMax"/>
          <c:max val="-50"/>
          <c:min val="-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RSRP</a:t>
                </a:r>
                <a:endParaRPr lang="id-ID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678576"/>
        <c:crosses val="autoZero"/>
        <c:crossBetween val="midCat"/>
        <c:majorUnit val="5"/>
      </c:valAx>
      <c:valAx>
        <c:axId val="645678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RSRQ</a:t>
                </a:r>
                <a:endParaRPr lang="id-ID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6854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 b="1" i="0" baseline="0">
                <a:effectLst/>
              </a:rPr>
              <a:t>RSRP vs RSRQ vs FTP DL Throughput Smartfren (Mbps)</a:t>
            </a:r>
            <a:endParaRPr lang="id-ID" sz="11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'Scattering Plot FTP DL 4G'!$ES$1</c:f>
              <c:strCache>
                <c:ptCount val="1"/>
                <c:pt idx="0">
                  <c:v>RSRQ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6">
                  <a:lumMod val="75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'Scattering Plot FTP DL 4G'!$ER$2</c:f>
              <c:numCache>
                <c:formatCode>General</c:formatCode>
                <c:ptCount val="1"/>
                <c:pt idx="0">
                  <c:v>-88.6</c:v>
                </c:pt>
              </c:numCache>
            </c:numRef>
          </c:xVal>
          <c:yVal>
            <c:numRef>
              <c:f>'Scattering Plot FTP DL 4G'!$ES$2</c:f>
              <c:numCache>
                <c:formatCode>General</c:formatCode>
                <c:ptCount val="1"/>
                <c:pt idx="0">
                  <c:v>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C2-479E-AF04-8C9307CFE82C}"/>
            </c:ext>
          </c:extLst>
        </c:ser>
        <c:ser>
          <c:idx val="1"/>
          <c:order val="1"/>
          <c:tx>
            <c:strRef>
              <c:f>'Scattering Plot FTP DL 4G'!$ET$1</c:f>
              <c:strCache>
                <c:ptCount val="1"/>
                <c:pt idx="0">
                  <c:v>&gt;=25 Mbps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rgbClr val="92D050"/>
              </a:solidFill>
              <a:ln w="9525">
                <a:noFill/>
              </a:ln>
              <a:effectLst/>
            </c:spPr>
          </c:marker>
          <c:xVal>
            <c:numRef>
              <c:f>'Scattering Plot FTP DL 4G'!$ER$2</c:f>
              <c:numCache>
                <c:formatCode>General</c:formatCode>
                <c:ptCount val="1"/>
                <c:pt idx="0">
                  <c:v>-88.6</c:v>
                </c:pt>
              </c:numCache>
            </c:numRef>
          </c:xVal>
          <c:yVal>
            <c:numRef>
              <c:f>'Scattering Plot FTP DL 4G'!$ET$2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C2-479E-AF04-8C9307CFE82C}"/>
            </c:ext>
          </c:extLst>
        </c:ser>
        <c:ser>
          <c:idx val="2"/>
          <c:order val="2"/>
          <c:tx>
            <c:strRef>
              <c:f>'Scattering Plot FTP DL 4G'!$EU$1</c:f>
              <c:strCache>
                <c:ptCount val="1"/>
                <c:pt idx="0">
                  <c:v>&gt;=20 and &lt;25 Mbps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rgbClr val="FFFF00"/>
              </a:solidFill>
              <a:ln w="9525">
                <a:noFill/>
              </a:ln>
              <a:effectLst/>
            </c:spPr>
          </c:marker>
          <c:xVal>
            <c:numRef>
              <c:f>'Scattering Plot FTP DL 4G'!$ER$2</c:f>
              <c:numCache>
                <c:formatCode>General</c:formatCode>
                <c:ptCount val="1"/>
                <c:pt idx="0">
                  <c:v>-88.6</c:v>
                </c:pt>
              </c:numCache>
            </c:numRef>
          </c:xVal>
          <c:yVal>
            <c:numRef>
              <c:f>'Scattering Plot FTP DL 4G'!$EU$2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5C2-479E-AF04-8C9307CFE82C}"/>
            </c:ext>
          </c:extLst>
        </c:ser>
        <c:ser>
          <c:idx val="3"/>
          <c:order val="3"/>
          <c:tx>
            <c:strRef>
              <c:f>'Scattering Plot FTP DL 4G'!$EV$1</c:f>
              <c:strCache>
                <c:ptCount val="1"/>
                <c:pt idx="0">
                  <c:v>&gt;=7 and &lt;20 Mbps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'Scattering Plot FTP DL 4G'!$ER$2</c:f>
              <c:numCache>
                <c:formatCode>General</c:formatCode>
                <c:ptCount val="1"/>
                <c:pt idx="0">
                  <c:v>-88.6</c:v>
                </c:pt>
              </c:numCache>
            </c:numRef>
          </c:xVal>
          <c:yVal>
            <c:numRef>
              <c:f>'Scattering Plot FTP DL 4G'!$EV$2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5C2-479E-AF04-8C9307CFE82C}"/>
            </c:ext>
          </c:extLst>
        </c:ser>
        <c:ser>
          <c:idx val="4"/>
          <c:order val="4"/>
          <c:tx>
            <c:strRef>
              <c:f>'Scattering Plot FTP DL 4G'!$EW$1</c:f>
              <c:strCache>
                <c:ptCount val="1"/>
                <c:pt idx="0">
                  <c:v>&gt;=5 and &lt;7 Mbps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'Scattering Plot FTP DL 4G'!$ER$2</c:f>
              <c:numCache>
                <c:formatCode>General</c:formatCode>
                <c:ptCount val="1"/>
                <c:pt idx="0">
                  <c:v>-88.6</c:v>
                </c:pt>
              </c:numCache>
            </c:numRef>
          </c:xVal>
          <c:yVal>
            <c:numRef>
              <c:f>'Scattering Plot FTP DL 4G'!$EW$2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5C2-479E-AF04-8C9307CFE82C}"/>
            </c:ext>
          </c:extLst>
        </c:ser>
        <c:ser>
          <c:idx val="5"/>
          <c:order val="5"/>
          <c:tx>
            <c:strRef>
              <c:f>'Scattering Plot FTP DL 4G'!$EX$1</c:f>
              <c:strCache>
                <c:ptCount val="1"/>
                <c:pt idx="0">
                  <c:v>&gt;=1 and &lt;5 Mbps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'Scattering Plot FTP DL 4G'!$ER$2</c:f>
              <c:numCache>
                <c:formatCode>General</c:formatCode>
                <c:ptCount val="1"/>
                <c:pt idx="0">
                  <c:v>-88.6</c:v>
                </c:pt>
              </c:numCache>
            </c:numRef>
          </c:xVal>
          <c:yVal>
            <c:numRef>
              <c:f>'Scattering Plot FTP DL 4G'!$EX$2</c:f>
              <c:numCache>
                <c:formatCode>General</c:formatCode>
                <c:ptCount val="1"/>
                <c:pt idx="0">
                  <c:v>-7.2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5C2-479E-AF04-8C9307CFE82C}"/>
            </c:ext>
          </c:extLst>
        </c:ser>
        <c:ser>
          <c:idx val="6"/>
          <c:order val="6"/>
          <c:tx>
            <c:strRef>
              <c:f>'Scattering Plot FTP DL 4G'!$EY$1</c:f>
              <c:strCache>
                <c:ptCount val="1"/>
                <c:pt idx="0">
                  <c:v>&lt;1 Mbps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'Scattering Plot FTP DL 4G'!$ER$2</c:f>
              <c:numCache>
                <c:formatCode>General</c:formatCode>
                <c:ptCount val="1"/>
                <c:pt idx="0">
                  <c:v>-88.6</c:v>
                </c:pt>
              </c:numCache>
            </c:numRef>
          </c:xVal>
          <c:yVal>
            <c:numRef>
              <c:f>'Scattering Plot FTP DL 4G'!$EY$2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5C2-479E-AF04-8C9307CFE8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5685464"/>
        <c:axId val="645678576"/>
      </c:scatterChart>
      <c:valAx>
        <c:axId val="645685464"/>
        <c:scaling>
          <c:orientation val="minMax"/>
          <c:max val="-50"/>
          <c:min val="-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RSRP</a:t>
                </a:r>
                <a:endParaRPr lang="id-ID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678576"/>
        <c:crosses val="autoZero"/>
        <c:crossBetween val="midCat"/>
        <c:majorUnit val="5"/>
      </c:valAx>
      <c:valAx>
        <c:axId val="645678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RSRQ</a:t>
                </a:r>
                <a:endParaRPr lang="id-ID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6854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of Download Throughput (Mbps)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Input!$B$26</c:f>
              <c:strCache>
                <c:ptCount val="1"/>
                <c:pt idx="0">
                  <c:v>Average Download Speed (Mbps)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70-42AF-9923-63C0AB53F9C5}"/>
              </c:ext>
            </c:extLst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70-42AF-9923-63C0AB53F9C5}"/>
              </c:ext>
            </c:extLst>
          </c:dPt>
          <c:dPt>
            <c:idx val="2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70-42AF-9923-63C0AB53F9C5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70-42AF-9923-63C0AB53F9C5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70-42AF-9923-63C0AB53F9C5}"/>
              </c:ext>
            </c:extLst>
          </c:dPt>
          <c:dPt>
            <c:idx val="5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3E9-4B8A-B6EE-E5909C835E5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Input!$C$1:$H$1</c:f>
              <c:strCache>
                <c:ptCount val="5"/>
                <c:pt idx="0">
                  <c:v>3</c:v>
                </c:pt>
                <c:pt idx="1">
                  <c:v>Indosat Ooredoo</c:v>
                </c:pt>
                <c:pt idx="2">
                  <c:v>Smartfren</c:v>
                </c:pt>
                <c:pt idx="3">
                  <c:v>Telkomsel</c:v>
                </c:pt>
                <c:pt idx="4">
                  <c:v>XL</c:v>
                </c:pt>
              </c:strCache>
            </c:strRef>
          </c:cat>
          <c:val>
            <c:numRef>
              <c:f>Input!$C$26:$H$26</c:f>
              <c:numCache>
                <c:formatCode>0.00</c:formatCode>
                <c:ptCount val="6"/>
                <c:pt idx="0">
                  <c:v>23.549998883928573</c:v>
                </c:pt>
                <c:pt idx="1">
                  <c:v>47.049998046874997</c:v>
                </c:pt>
                <c:pt idx="2">
                  <c:v>9.0299999999999994</c:v>
                </c:pt>
                <c:pt idx="3">
                  <c:v>53.316666666666663</c:v>
                </c:pt>
                <c:pt idx="4">
                  <c:v>70.116666666666674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470-42AF-9923-63C0AB53F9C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573680224"/>
        <c:axId val="1485241792"/>
      </c:barChart>
      <c:catAx>
        <c:axId val="15736802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5241792"/>
        <c:crosses val="autoZero"/>
        <c:auto val="1"/>
        <c:lblAlgn val="ctr"/>
        <c:lblOffset val="100"/>
        <c:noMultiLvlLbl val="0"/>
      </c:catAx>
      <c:valAx>
        <c:axId val="1485241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3680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a:effectLst/>
              </a:rPr>
              <a:t>Average of Upload Throughput (Mbps)</a:t>
            </a:r>
            <a:endParaRPr lang="id-ID" sz="11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Input!$B$29</c:f>
              <c:strCache>
                <c:ptCount val="1"/>
                <c:pt idx="0">
                  <c:v>Average Upload Speed (Mbps)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5EA-4098-8736-8ABDC72B4FC7}"/>
              </c:ext>
            </c:extLst>
          </c:dPt>
          <c:dPt>
            <c:idx val="2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5EA-4098-8736-8ABDC72B4FC7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5EA-4098-8736-8ABDC72B4FC7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5EA-4098-8736-8ABDC72B4FC7}"/>
              </c:ext>
            </c:extLst>
          </c:dPt>
          <c:dPt>
            <c:idx val="5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22D-4F6D-A850-422405F0D73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Input!$C$1:$H$1</c:f>
              <c:strCache>
                <c:ptCount val="5"/>
                <c:pt idx="0">
                  <c:v>3</c:v>
                </c:pt>
                <c:pt idx="1">
                  <c:v>Indosat Ooredoo</c:v>
                </c:pt>
                <c:pt idx="2">
                  <c:v>Smartfren</c:v>
                </c:pt>
                <c:pt idx="3">
                  <c:v>Telkomsel</c:v>
                </c:pt>
                <c:pt idx="4">
                  <c:v>XL</c:v>
                </c:pt>
              </c:strCache>
            </c:strRef>
          </c:cat>
          <c:val>
            <c:numRef>
              <c:f>Input!$C$29:$H$29</c:f>
              <c:numCache>
                <c:formatCode>0.00</c:formatCode>
                <c:ptCount val="6"/>
                <c:pt idx="0">
                  <c:v>20.628571428571426</c:v>
                </c:pt>
                <c:pt idx="1">
                  <c:v>28.175000000000001</c:v>
                </c:pt>
                <c:pt idx="2">
                  <c:v>6.625</c:v>
                </c:pt>
                <c:pt idx="3">
                  <c:v>27.966666666666669</c:v>
                </c:pt>
                <c:pt idx="4">
                  <c:v>18.535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5EA-4098-8736-8ABDC72B4FC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573680224"/>
        <c:axId val="1485241792"/>
      </c:barChart>
      <c:catAx>
        <c:axId val="15736802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5241792"/>
        <c:crosses val="autoZero"/>
        <c:auto val="1"/>
        <c:lblAlgn val="ctr"/>
        <c:lblOffset val="100"/>
        <c:noMultiLvlLbl val="0"/>
      </c:catAx>
      <c:valAx>
        <c:axId val="1485241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3680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a:effectLst/>
              </a:rPr>
              <a:t>Download Success Rate (%)</a:t>
            </a:r>
            <a:endParaRPr lang="id-ID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Input!$B$25</c:f>
              <c:strCache>
                <c:ptCount val="1"/>
                <c:pt idx="0">
                  <c:v>Speedest Success Rate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48-4224-A3A1-7C2BE1A2CCD3}"/>
              </c:ext>
            </c:extLst>
          </c:dPt>
          <c:dPt>
            <c:idx val="2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48-4224-A3A1-7C2BE1A2CCD3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48-4224-A3A1-7C2BE1A2CCD3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48-4224-A3A1-7C2BE1A2CCD3}"/>
              </c:ext>
            </c:extLst>
          </c:dPt>
          <c:dPt>
            <c:idx val="5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60A-43D7-B709-A2184DD7BEB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Input!$C$1:$H$1</c:f>
              <c:strCache>
                <c:ptCount val="5"/>
                <c:pt idx="0">
                  <c:v>3</c:v>
                </c:pt>
                <c:pt idx="1">
                  <c:v>Indosat Ooredoo</c:v>
                </c:pt>
                <c:pt idx="2">
                  <c:v>Smartfren</c:v>
                </c:pt>
                <c:pt idx="3">
                  <c:v>Telkomsel</c:v>
                </c:pt>
                <c:pt idx="4">
                  <c:v>XL</c:v>
                </c:pt>
              </c:strCache>
            </c:strRef>
          </c:cat>
          <c:val>
            <c:numRef>
              <c:f>Input!$C$25:$H$25</c:f>
              <c:numCache>
                <c:formatCode>0.00</c:formatCode>
                <c:ptCount val="6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048-4224-A3A1-7C2BE1A2CCD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573680224"/>
        <c:axId val="1485241792"/>
      </c:barChart>
      <c:catAx>
        <c:axId val="15736802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5241792"/>
        <c:crosses val="autoZero"/>
        <c:auto val="1"/>
        <c:lblAlgn val="ctr"/>
        <c:lblOffset val="100"/>
        <c:noMultiLvlLbl val="0"/>
      </c:catAx>
      <c:valAx>
        <c:axId val="1485241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3680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Upload Success Rate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Input!$B$25</c:f>
              <c:strCache>
                <c:ptCount val="1"/>
                <c:pt idx="0">
                  <c:v>Speedest Success Rate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70-42AF-9923-63C0AB53F9C5}"/>
              </c:ext>
            </c:extLst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70-42AF-9923-63C0AB53F9C5}"/>
              </c:ext>
            </c:extLst>
          </c:dPt>
          <c:dPt>
            <c:idx val="2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70-42AF-9923-63C0AB53F9C5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70-42AF-9923-63C0AB53F9C5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70-42AF-9923-63C0AB53F9C5}"/>
              </c:ext>
            </c:extLst>
          </c:dPt>
          <c:dPt>
            <c:idx val="5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3E9-4B8A-B6EE-E5909C835E5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Input!$C$1:$H$1</c:f>
              <c:strCache>
                <c:ptCount val="5"/>
                <c:pt idx="0">
                  <c:v>3</c:v>
                </c:pt>
                <c:pt idx="1">
                  <c:v>Indosat Ooredoo</c:v>
                </c:pt>
                <c:pt idx="2">
                  <c:v>Smartfren</c:v>
                </c:pt>
                <c:pt idx="3">
                  <c:v>Telkomsel</c:v>
                </c:pt>
                <c:pt idx="4">
                  <c:v>XL</c:v>
                </c:pt>
              </c:strCache>
            </c:strRef>
          </c:cat>
          <c:val>
            <c:numRef>
              <c:f>Input!$C$25:$H$25</c:f>
              <c:numCache>
                <c:formatCode>0.00</c:formatCode>
                <c:ptCount val="6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470-42AF-9923-63C0AB53F9C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573680224"/>
        <c:axId val="1485241792"/>
      </c:barChart>
      <c:catAx>
        <c:axId val="15736802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5241792"/>
        <c:crosses val="autoZero"/>
        <c:auto val="1"/>
        <c:lblAlgn val="ctr"/>
        <c:lblOffset val="100"/>
        <c:noMultiLvlLbl val="0"/>
      </c:catAx>
      <c:valAx>
        <c:axId val="1485241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3680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of Download Throughput (Mbps)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Input!$B$18</c:f>
              <c:strCache>
                <c:ptCount val="1"/>
                <c:pt idx="0">
                  <c:v>Average Throughput (Mbps)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70-42AF-9923-63C0AB53F9C5}"/>
              </c:ext>
            </c:extLst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70-42AF-9923-63C0AB53F9C5}"/>
              </c:ext>
            </c:extLst>
          </c:dPt>
          <c:dPt>
            <c:idx val="2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70-42AF-9923-63C0AB53F9C5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70-42AF-9923-63C0AB53F9C5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70-42AF-9923-63C0AB53F9C5}"/>
              </c:ext>
            </c:extLst>
          </c:dPt>
          <c:dPt>
            <c:idx val="5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3E9-4B8A-B6EE-E5909C835E5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Input!$C$1:$H$1</c:f>
              <c:strCache>
                <c:ptCount val="5"/>
                <c:pt idx="0">
                  <c:v>3</c:v>
                </c:pt>
                <c:pt idx="1">
                  <c:v>Indosat Ooredoo</c:v>
                </c:pt>
                <c:pt idx="2">
                  <c:v>Smartfren</c:v>
                </c:pt>
                <c:pt idx="3">
                  <c:v>Telkomsel</c:v>
                </c:pt>
                <c:pt idx="4">
                  <c:v>XL</c:v>
                </c:pt>
              </c:strCache>
            </c:strRef>
          </c:cat>
          <c:val>
            <c:numRef>
              <c:f>Input!$C$18:$H$18</c:f>
              <c:numCache>
                <c:formatCode>0.00</c:formatCode>
                <c:ptCount val="6"/>
                <c:pt idx="0">
                  <c:v>25.740383999999999</c:v>
                </c:pt>
                <c:pt idx="1">
                  <c:v>60.577407999999998</c:v>
                </c:pt>
                <c:pt idx="2">
                  <c:v>11.0171648</c:v>
                </c:pt>
                <c:pt idx="3">
                  <c:v>77.680979199999996</c:v>
                </c:pt>
                <c:pt idx="4">
                  <c:v>63.490006399999999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470-42AF-9923-63C0AB53F9C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573680224"/>
        <c:axId val="1485241792"/>
      </c:barChart>
      <c:catAx>
        <c:axId val="15736802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5241792"/>
        <c:crosses val="autoZero"/>
        <c:auto val="1"/>
        <c:lblAlgn val="ctr"/>
        <c:lblOffset val="100"/>
        <c:noMultiLvlLbl val="0"/>
      </c:catAx>
      <c:valAx>
        <c:axId val="1485241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3680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of Upload Throughput (Mbps)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Input!$B$22</c:f>
              <c:strCache>
                <c:ptCount val="1"/>
                <c:pt idx="0">
                  <c:v>Average Throughput (Mbps)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70-42AF-9923-63C0AB53F9C5}"/>
              </c:ext>
            </c:extLst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70-42AF-9923-63C0AB53F9C5}"/>
              </c:ext>
            </c:extLst>
          </c:dPt>
          <c:dPt>
            <c:idx val="2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70-42AF-9923-63C0AB53F9C5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70-42AF-9923-63C0AB53F9C5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70-42AF-9923-63C0AB53F9C5}"/>
              </c:ext>
            </c:extLst>
          </c:dPt>
          <c:dPt>
            <c:idx val="5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3E9-4B8A-B6EE-E5909C835E5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Input!$C$1:$H$1</c:f>
              <c:strCache>
                <c:ptCount val="5"/>
                <c:pt idx="0">
                  <c:v>3</c:v>
                </c:pt>
                <c:pt idx="1">
                  <c:v>Indosat Ooredoo</c:v>
                </c:pt>
                <c:pt idx="2">
                  <c:v>Smartfren</c:v>
                </c:pt>
                <c:pt idx="3">
                  <c:v>Telkomsel</c:v>
                </c:pt>
                <c:pt idx="4">
                  <c:v>XL</c:v>
                </c:pt>
              </c:strCache>
            </c:strRef>
          </c:cat>
          <c:val>
            <c:numRef>
              <c:f>Input!$C$22:$H$22</c:f>
              <c:numCache>
                <c:formatCode>0.00</c:formatCode>
                <c:ptCount val="6"/>
                <c:pt idx="0">
                  <c:v>10.532620000000001</c:v>
                </c:pt>
                <c:pt idx="1">
                  <c:v>37.031185600000008</c:v>
                </c:pt>
                <c:pt idx="2">
                  <c:v>3.8588815999999997</c:v>
                </c:pt>
                <c:pt idx="3">
                  <c:v>31.293238000000002</c:v>
                </c:pt>
                <c:pt idx="4">
                  <c:v>20.155585599999998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470-42AF-9923-63C0AB53F9C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573680224"/>
        <c:axId val="1485241792"/>
      </c:barChart>
      <c:catAx>
        <c:axId val="15736802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5241792"/>
        <c:crosses val="autoZero"/>
        <c:auto val="1"/>
        <c:lblAlgn val="ctr"/>
        <c:lblOffset val="100"/>
        <c:noMultiLvlLbl val="0"/>
      </c:catAx>
      <c:valAx>
        <c:axId val="1485241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3680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Download Success Rate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Input!$B$17</c:f>
              <c:strCache>
                <c:ptCount val="1"/>
                <c:pt idx="0">
                  <c:v>Capacity DL Success Rate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70-42AF-9923-63C0AB53F9C5}"/>
              </c:ext>
            </c:extLst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70-42AF-9923-63C0AB53F9C5}"/>
              </c:ext>
            </c:extLst>
          </c:dPt>
          <c:dPt>
            <c:idx val="2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70-42AF-9923-63C0AB53F9C5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70-42AF-9923-63C0AB53F9C5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70-42AF-9923-63C0AB53F9C5}"/>
              </c:ext>
            </c:extLst>
          </c:dPt>
          <c:dPt>
            <c:idx val="5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3E9-4B8A-B6EE-E5909C835E5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Input!$C$1:$H$1</c:f>
              <c:strCache>
                <c:ptCount val="5"/>
                <c:pt idx="0">
                  <c:v>3</c:v>
                </c:pt>
                <c:pt idx="1">
                  <c:v>Indosat Ooredoo</c:v>
                </c:pt>
                <c:pt idx="2">
                  <c:v>Smartfren</c:v>
                </c:pt>
                <c:pt idx="3">
                  <c:v>Telkomsel</c:v>
                </c:pt>
                <c:pt idx="4">
                  <c:v>XL</c:v>
                </c:pt>
              </c:strCache>
            </c:strRef>
          </c:cat>
          <c:val>
            <c:numRef>
              <c:f>Input!$C$17:$H$17</c:f>
              <c:numCache>
                <c:formatCode>0.00</c:formatCode>
                <c:ptCount val="6"/>
                <c:pt idx="0">
                  <c:v>80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470-42AF-9923-63C0AB53F9C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573680224"/>
        <c:axId val="1485241792"/>
      </c:barChart>
      <c:catAx>
        <c:axId val="15736802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5241792"/>
        <c:crosses val="autoZero"/>
        <c:auto val="1"/>
        <c:lblAlgn val="ctr"/>
        <c:lblOffset val="100"/>
        <c:noMultiLvlLbl val="0"/>
      </c:catAx>
      <c:valAx>
        <c:axId val="1485241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3680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Upload Success Rate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Input!$B$21</c:f>
              <c:strCache>
                <c:ptCount val="1"/>
                <c:pt idx="0">
                  <c:v>Capacity UL Success Rate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70-42AF-9923-63C0AB53F9C5}"/>
              </c:ext>
            </c:extLst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70-42AF-9923-63C0AB53F9C5}"/>
              </c:ext>
            </c:extLst>
          </c:dPt>
          <c:dPt>
            <c:idx val="2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70-42AF-9923-63C0AB53F9C5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70-42AF-9923-63C0AB53F9C5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70-42AF-9923-63C0AB53F9C5}"/>
              </c:ext>
            </c:extLst>
          </c:dPt>
          <c:dPt>
            <c:idx val="5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3E9-4B8A-B6EE-E5909C835E5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Input!$C$1:$H$1</c:f>
              <c:strCache>
                <c:ptCount val="5"/>
                <c:pt idx="0">
                  <c:v>3</c:v>
                </c:pt>
                <c:pt idx="1">
                  <c:v>Indosat Ooredoo</c:v>
                </c:pt>
                <c:pt idx="2">
                  <c:v>Smartfren</c:v>
                </c:pt>
                <c:pt idx="3">
                  <c:v>Telkomsel</c:v>
                </c:pt>
                <c:pt idx="4">
                  <c:v>XL</c:v>
                </c:pt>
              </c:strCache>
            </c:strRef>
          </c:cat>
          <c:val>
            <c:numRef>
              <c:f>Input!$C$21:$H$21</c:f>
              <c:numCache>
                <c:formatCode>0.00</c:formatCode>
                <c:ptCount val="6"/>
                <c:pt idx="0">
                  <c:v>80</c:v>
                </c:pt>
                <c:pt idx="1">
                  <c:v>100</c:v>
                </c:pt>
                <c:pt idx="2">
                  <c:v>100</c:v>
                </c:pt>
                <c:pt idx="3">
                  <c:v>80</c:v>
                </c:pt>
                <c:pt idx="4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470-42AF-9923-63C0AB53F9C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573680224"/>
        <c:axId val="1485241792"/>
      </c:barChart>
      <c:catAx>
        <c:axId val="15736802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5241792"/>
        <c:crosses val="autoZero"/>
        <c:auto val="1"/>
        <c:lblAlgn val="ctr"/>
        <c:lblOffset val="100"/>
        <c:noMultiLvlLbl val="0"/>
      </c:catAx>
      <c:valAx>
        <c:axId val="1485241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3680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Avg Visual Quality 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Input!$B$33</c:f>
              <c:strCache>
                <c:ptCount val="1"/>
                <c:pt idx="0">
                  <c:v>Avg Visual Quality / MOS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70-42AF-9923-63C0AB53F9C5}"/>
              </c:ext>
            </c:extLst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70-42AF-9923-63C0AB53F9C5}"/>
              </c:ext>
            </c:extLst>
          </c:dPt>
          <c:dPt>
            <c:idx val="2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70-42AF-9923-63C0AB53F9C5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70-42AF-9923-63C0AB53F9C5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70-42AF-9923-63C0AB53F9C5}"/>
              </c:ext>
            </c:extLst>
          </c:dPt>
          <c:dPt>
            <c:idx val="5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3E9-4B8A-B6EE-E5909C835E5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Input!$C$1:$H$1</c:f>
              <c:strCache>
                <c:ptCount val="5"/>
                <c:pt idx="0">
                  <c:v>3</c:v>
                </c:pt>
                <c:pt idx="1">
                  <c:v>Indosat Ooredoo</c:v>
                </c:pt>
                <c:pt idx="2">
                  <c:v>Smartfren</c:v>
                </c:pt>
                <c:pt idx="3">
                  <c:v>Telkomsel</c:v>
                </c:pt>
                <c:pt idx="4">
                  <c:v>XL</c:v>
                </c:pt>
              </c:strCache>
            </c:strRef>
          </c:cat>
          <c:val>
            <c:numRef>
              <c:f>Input!$C$33:$H$33</c:f>
              <c:numCache>
                <c:formatCode>0.00</c:formatCode>
                <c:ptCount val="6"/>
                <c:pt idx="0">
                  <c:v>3.7999999523162842</c:v>
                </c:pt>
                <c:pt idx="1">
                  <c:v>3.8714286259242465</c:v>
                </c:pt>
                <c:pt idx="2">
                  <c:v>3.5</c:v>
                </c:pt>
                <c:pt idx="3">
                  <c:v>3.8428571564810619</c:v>
                </c:pt>
                <c:pt idx="4">
                  <c:v>2.5999999046325684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470-42AF-9923-63C0AB53F9C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573680224"/>
        <c:axId val="1485241792"/>
      </c:barChart>
      <c:catAx>
        <c:axId val="15736802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5241792"/>
        <c:crosses val="autoZero"/>
        <c:auto val="1"/>
        <c:lblAlgn val="ctr"/>
        <c:lblOffset val="100"/>
        <c:noMultiLvlLbl val="0"/>
      </c:catAx>
      <c:valAx>
        <c:axId val="1485241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3680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id-ID" sz="1400" b="0" i="0" baseline="0">
                <a:effectLst/>
              </a:rPr>
              <a:t>Average</a:t>
            </a:r>
            <a:r>
              <a:rPr lang="en-US" sz="1400" b="0" i="0" baseline="0">
                <a:effectLst/>
              </a:rPr>
              <a:t> </a:t>
            </a:r>
            <a:r>
              <a:rPr lang="id-ID" sz="1400" b="0" i="0" baseline="0">
                <a:effectLst/>
              </a:rPr>
              <a:t>Time to first Picture</a:t>
            </a:r>
            <a:r>
              <a:rPr lang="en-US" sz="1400" b="0" i="0" baseline="0">
                <a:effectLst/>
              </a:rPr>
              <a:t> (s)</a:t>
            </a:r>
            <a:endParaRPr lang="id-ID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Input!$B$34</c:f>
              <c:strCache>
                <c:ptCount val="1"/>
                <c:pt idx="0">
                  <c:v>Avg Time to first Picture (s)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462-4683-ADB5-9ED0DB04634C}"/>
              </c:ext>
            </c:extLst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462-4683-ADB5-9ED0DB04634C}"/>
              </c:ext>
            </c:extLst>
          </c:dPt>
          <c:dPt>
            <c:idx val="2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462-4683-ADB5-9ED0DB04634C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462-4683-ADB5-9ED0DB04634C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462-4683-ADB5-9ED0DB04634C}"/>
              </c:ext>
            </c:extLst>
          </c:dPt>
          <c:dPt>
            <c:idx val="5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D6A-458C-8875-998C2EDF4EC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Input!$C$1:$H$1</c:f>
              <c:strCache>
                <c:ptCount val="5"/>
                <c:pt idx="0">
                  <c:v>3</c:v>
                </c:pt>
                <c:pt idx="1">
                  <c:v>Indosat Ooredoo</c:v>
                </c:pt>
                <c:pt idx="2">
                  <c:v>Smartfren</c:v>
                </c:pt>
                <c:pt idx="3">
                  <c:v>Telkomsel</c:v>
                </c:pt>
                <c:pt idx="4">
                  <c:v>XL</c:v>
                </c:pt>
              </c:strCache>
            </c:strRef>
          </c:cat>
          <c:val>
            <c:numRef>
              <c:f>Input!$C$34:$H$34</c:f>
              <c:numCache>
                <c:formatCode>0.00</c:formatCode>
                <c:ptCount val="6"/>
                <c:pt idx="0">
                  <c:v>2.6112857142857142</c:v>
                </c:pt>
                <c:pt idx="1">
                  <c:v>2.8038571428571428</c:v>
                </c:pt>
                <c:pt idx="2">
                  <c:v>8.1515714285714278</c:v>
                </c:pt>
                <c:pt idx="3">
                  <c:v>3.036</c:v>
                </c:pt>
                <c:pt idx="4">
                  <c:v>3.919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462-4683-ADB5-9ED0DB04634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573680224"/>
        <c:axId val="1485241792"/>
      </c:barChart>
      <c:catAx>
        <c:axId val="15736802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5241792"/>
        <c:crosses val="autoZero"/>
        <c:auto val="1"/>
        <c:lblAlgn val="ctr"/>
        <c:lblOffset val="100"/>
        <c:noMultiLvlLbl val="0"/>
      </c:catAx>
      <c:valAx>
        <c:axId val="1485241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3680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Youtube Streaming Success Rate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Input!$B$32</c:f>
              <c:strCache>
                <c:ptCount val="1"/>
                <c:pt idx="0">
                  <c:v>Stream Success Rate (%)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70-42AF-9923-63C0AB53F9C5}"/>
              </c:ext>
            </c:extLst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70-42AF-9923-63C0AB53F9C5}"/>
              </c:ext>
            </c:extLst>
          </c:dPt>
          <c:dPt>
            <c:idx val="2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70-42AF-9923-63C0AB53F9C5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70-42AF-9923-63C0AB53F9C5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70-42AF-9923-63C0AB53F9C5}"/>
              </c:ext>
            </c:extLst>
          </c:dPt>
          <c:dPt>
            <c:idx val="5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3E9-4B8A-B6EE-E5909C835E5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Input!$C$1:$H$1</c:f>
              <c:strCache>
                <c:ptCount val="5"/>
                <c:pt idx="0">
                  <c:v>3</c:v>
                </c:pt>
                <c:pt idx="1">
                  <c:v>Indosat Ooredoo</c:v>
                </c:pt>
                <c:pt idx="2">
                  <c:v>Smartfren</c:v>
                </c:pt>
                <c:pt idx="3">
                  <c:v>Telkomsel</c:v>
                </c:pt>
                <c:pt idx="4">
                  <c:v>XL</c:v>
                </c:pt>
              </c:strCache>
            </c:strRef>
          </c:cat>
          <c:val>
            <c:numRef>
              <c:f>Input!$C$32:$H$32</c:f>
              <c:numCache>
                <c:formatCode>0.00</c:formatCode>
                <c:ptCount val="6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470-42AF-9923-63C0AB53F9C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573680224"/>
        <c:axId val="1485241792"/>
      </c:barChart>
      <c:catAx>
        <c:axId val="15736802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5241792"/>
        <c:crosses val="autoZero"/>
        <c:auto val="1"/>
        <c:lblAlgn val="ctr"/>
        <c:lblOffset val="100"/>
        <c:noMultiLvlLbl val="0"/>
      </c:catAx>
      <c:valAx>
        <c:axId val="1485241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3680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4472C4">
              <a:lumMod val="5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"/>
        <c:spPr>
          <a:solidFill>
            <a:srgbClr val="4472C4">
              <a:lumMod val="75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solidFill>
            <a:srgbClr val="4472C4">
              <a:lumMod val="60000"/>
              <a:lumOff val="4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solidFill>
            <a:srgbClr val="4472C4">
              <a:lumMod val="40000"/>
              <a:lumOff val="6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solidFill>
            <a:srgbClr val="70AD47">
              <a:lumMod val="5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"/>
        <c:spPr>
          <a:solidFill>
            <a:srgbClr val="70AD47">
              <a:lumMod val="75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spPr>
          <a:solidFill>
            <a:srgbClr val="70AD47">
              <a:lumMod val="60000"/>
              <a:lumOff val="4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"/>
        <c:spPr>
          <a:solidFill>
            <a:srgbClr val="70AD47">
              <a:lumMod val="40000"/>
              <a:lumOff val="6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  <c:spPr>
          <a:solidFill>
            <a:srgbClr val="FFFF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solidFill>
            <a:srgbClr val="FFC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4472C4">
              <a:lumMod val="75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2"/>
        <c:spPr>
          <a:solidFill>
            <a:srgbClr val="4472C4">
              <a:lumMod val="60000"/>
              <a:lumOff val="4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3"/>
        <c:spPr>
          <a:solidFill>
            <a:srgbClr val="4472C4">
              <a:lumMod val="40000"/>
              <a:lumOff val="6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4"/>
        <c:spPr>
          <a:solidFill>
            <a:srgbClr val="70AD47">
              <a:lumMod val="5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5"/>
        <c:spPr>
          <a:solidFill>
            <a:srgbClr val="70AD47">
              <a:lumMod val="75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6"/>
        <c:spPr>
          <a:solidFill>
            <a:srgbClr val="70AD47">
              <a:lumMod val="60000"/>
              <a:lumOff val="4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7"/>
        <c:spPr>
          <a:solidFill>
            <a:srgbClr val="70AD47">
              <a:lumMod val="40000"/>
              <a:lumOff val="6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8"/>
        <c:spPr>
          <a:solidFill>
            <a:srgbClr val="FFFF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9"/>
        <c:spPr>
          <a:solidFill>
            <a:srgbClr val="FFC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0"/>
        <c:spPr>
          <a:solidFill>
            <a:srgbClr val="FF0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1"/>
        <c:spPr>
          <a:solidFill>
            <a:srgbClr val="C00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rgbClr val="5B9BD5">
              <a:lumMod val="75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4"/>
        <c:spPr>
          <a:solidFill>
            <a:srgbClr val="FFFF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5"/>
        <c:spPr>
          <a:solidFill>
            <a:srgbClr val="FF0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6"/>
        <c:spPr>
          <a:solidFill>
            <a:sysClr val="windowText" lastClr="000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7"/>
        <c:spPr>
          <a:solidFill>
            <a:srgbClr val="70AD47">
              <a:lumMod val="75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Input!$C$1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ysClr val="windowText" lastClr="000000">
                <a:lumMod val="95000"/>
                <a:lumOff val="5000"/>
              </a:sysClr>
            </a:solidFill>
          </c:spPr>
          <c:dPt>
            <c:idx val="0"/>
            <c:bubble3D val="0"/>
            <c:spPr>
              <a:solidFill>
                <a:sysClr val="windowText" lastClr="000000">
                  <a:lumMod val="95000"/>
                  <a:lumOff val="5000"/>
                </a:sys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A50-40AD-9BFB-83375CF2EFBD}"/>
              </c:ext>
            </c:extLst>
          </c:dPt>
          <c:dPt>
            <c:idx val="1"/>
            <c:bubble3D val="0"/>
            <c:spPr>
              <a:solidFill>
                <a:sysClr val="window" lastClr="FFFFFF">
                  <a:lumMod val="50000"/>
                </a:sys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A50-40AD-9BFB-83375CF2EFBD}"/>
              </c:ext>
            </c:extLst>
          </c:dPt>
          <c:dPt>
            <c:idx val="2"/>
            <c:bubble3D val="0"/>
            <c:spPr>
              <a:solidFill>
                <a:sysClr val="window" lastClr="FFFFFF">
                  <a:lumMod val="85000"/>
                </a:sys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0A50-40AD-9BFB-83375CF2EFBD}"/>
              </c:ext>
            </c:extLst>
          </c:dPt>
          <c:dPt>
            <c:idx val="3"/>
            <c:bubble3D val="0"/>
            <c:spPr>
              <a:solidFill>
                <a:sysClr val="windowText" lastClr="000000">
                  <a:lumMod val="95000"/>
                  <a:lumOff val="5000"/>
                </a:sys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0A50-40AD-9BFB-83375CF2EFBD}"/>
              </c:ext>
            </c:extLst>
          </c:dPt>
          <c:dPt>
            <c:idx val="4"/>
            <c:bubble3D val="0"/>
            <c:spPr>
              <a:solidFill>
                <a:sysClr val="windowText" lastClr="000000">
                  <a:lumMod val="95000"/>
                  <a:lumOff val="5000"/>
                </a:sys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0A50-40AD-9BFB-83375CF2EFBD}"/>
              </c:ext>
            </c:extLst>
          </c:dPt>
          <c:dPt>
            <c:idx val="5"/>
            <c:bubble3D val="0"/>
            <c:spPr>
              <a:solidFill>
                <a:sysClr val="windowText" lastClr="000000">
                  <a:lumMod val="95000"/>
                  <a:lumOff val="5000"/>
                </a:sys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0A50-40AD-9BFB-83375CF2EFBD}"/>
              </c:ext>
            </c:extLst>
          </c:dPt>
          <c:dPt>
            <c:idx val="6"/>
            <c:bubble3D val="0"/>
            <c:spPr>
              <a:solidFill>
                <a:sysClr val="windowText" lastClr="000000">
                  <a:lumMod val="95000"/>
                  <a:lumOff val="5000"/>
                </a:sys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0A50-40AD-9BFB-83375CF2EFBD}"/>
              </c:ext>
            </c:extLst>
          </c:dPt>
          <c:dPt>
            <c:idx val="7"/>
            <c:bubble3D val="0"/>
            <c:spPr>
              <a:solidFill>
                <a:sysClr val="windowText" lastClr="000000">
                  <a:lumMod val="95000"/>
                  <a:lumOff val="5000"/>
                </a:sys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0A50-40AD-9BFB-83375CF2EFBD}"/>
              </c:ext>
            </c:extLst>
          </c:dPt>
          <c:dPt>
            <c:idx val="8"/>
            <c:bubble3D val="0"/>
            <c:spPr>
              <a:solidFill>
                <a:sysClr val="windowText" lastClr="000000">
                  <a:lumMod val="95000"/>
                  <a:lumOff val="5000"/>
                </a:sys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0A50-40AD-9BFB-83375CF2EFBD}"/>
              </c:ext>
            </c:extLst>
          </c:dPt>
          <c:dPt>
            <c:idx val="9"/>
            <c:bubble3D val="0"/>
            <c:spPr>
              <a:solidFill>
                <a:sysClr val="windowText" lastClr="000000">
                  <a:lumMod val="95000"/>
                  <a:lumOff val="5000"/>
                </a:sys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0A50-40AD-9BFB-83375CF2EFBD}"/>
              </c:ext>
            </c:extLst>
          </c:dPt>
          <c:dPt>
            <c:idx val="10"/>
            <c:bubble3D val="0"/>
            <c:spPr>
              <a:solidFill>
                <a:sysClr val="windowText" lastClr="000000">
                  <a:lumMod val="95000"/>
                  <a:lumOff val="5000"/>
                </a:sys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0A50-40AD-9BFB-83375CF2EFB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Input!$B$35:$B$39</c:f>
              <c:strCache>
                <c:ptCount val="5"/>
                <c:pt idx="0">
                  <c:v>1080p (%)</c:v>
                </c:pt>
                <c:pt idx="1">
                  <c:v>720p (%)</c:v>
                </c:pt>
                <c:pt idx="2">
                  <c:v>480p (%)</c:v>
                </c:pt>
                <c:pt idx="3">
                  <c:v>360p (%)</c:v>
                </c:pt>
                <c:pt idx="4">
                  <c:v>240p (%)</c:v>
                </c:pt>
              </c:strCache>
            </c:strRef>
          </c:cat>
          <c:val>
            <c:numRef>
              <c:f>Input!$C$35:$C$39</c:f>
              <c:numCache>
                <c:formatCode>0.00</c:formatCode>
                <c:ptCount val="5"/>
                <c:pt idx="0">
                  <c:v>0</c:v>
                </c:pt>
                <c:pt idx="1">
                  <c:v>100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A50-40AD-9BFB-83375CF2EFBD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4472C4">
              <a:lumMod val="5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"/>
        <c:spPr>
          <a:solidFill>
            <a:srgbClr val="4472C4">
              <a:lumMod val="75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solidFill>
            <a:srgbClr val="4472C4">
              <a:lumMod val="60000"/>
              <a:lumOff val="4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solidFill>
            <a:srgbClr val="4472C4">
              <a:lumMod val="40000"/>
              <a:lumOff val="6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solidFill>
            <a:srgbClr val="70AD47">
              <a:lumMod val="5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"/>
        <c:spPr>
          <a:solidFill>
            <a:srgbClr val="70AD47">
              <a:lumMod val="75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spPr>
          <a:solidFill>
            <a:srgbClr val="70AD47">
              <a:lumMod val="60000"/>
              <a:lumOff val="4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"/>
        <c:spPr>
          <a:solidFill>
            <a:srgbClr val="70AD47">
              <a:lumMod val="40000"/>
              <a:lumOff val="6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  <c:spPr>
          <a:solidFill>
            <a:srgbClr val="FFFF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solidFill>
            <a:srgbClr val="FFC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4472C4">
              <a:lumMod val="75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2"/>
        <c:spPr>
          <a:solidFill>
            <a:srgbClr val="4472C4">
              <a:lumMod val="60000"/>
              <a:lumOff val="4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3"/>
        <c:spPr>
          <a:solidFill>
            <a:srgbClr val="4472C4">
              <a:lumMod val="40000"/>
              <a:lumOff val="6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4"/>
        <c:spPr>
          <a:solidFill>
            <a:srgbClr val="70AD47">
              <a:lumMod val="5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5"/>
        <c:spPr>
          <a:solidFill>
            <a:srgbClr val="70AD47">
              <a:lumMod val="75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6"/>
        <c:spPr>
          <a:solidFill>
            <a:srgbClr val="70AD47">
              <a:lumMod val="60000"/>
              <a:lumOff val="4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7"/>
        <c:spPr>
          <a:solidFill>
            <a:srgbClr val="70AD47">
              <a:lumMod val="40000"/>
              <a:lumOff val="6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8"/>
        <c:spPr>
          <a:solidFill>
            <a:srgbClr val="FFFF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9"/>
        <c:spPr>
          <a:solidFill>
            <a:srgbClr val="FFC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0"/>
        <c:spPr>
          <a:solidFill>
            <a:srgbClr val="FF0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1"/>
        <c:spPr>
          <a:solidFill>
            <a:srgbClr val="C00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rgbClr val="5B9BD5">
              <a:lumMod val="75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4"/>
        <c:spPr>
          <a:solidFill>
            <a:srgbClr val="FFFF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5"/>
        <c:spPr>
          <a:solidFill>
            <a:srgbClr val="FF0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6"/>
        <c:spPr>
          <a:solidFill>
            <a:sysClr val="windowText" lastClr="000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7"/>
        <c:spPr>
          <a:solidFill>
            <a:srgbClr val="70AD47">
              <a:lumMod val="75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Input!$D$1</c:f>
              <c:strCache>
                <c:ptCount val="1"/>
                <c:pt idx="0">
                  <c:v>Indosat Ooredoo</c:v>
                </c:pt>
              </c:strCache>
            </c:strRef>
          </c:tx>
          <c:dPt>
            <c:idx val="0"/>
            <c:bubble3D val="0"/>
            <c:spPr>
              <a:solidFill>
                <a:srgbClr val="FFC0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14D-4B01-9013-4C5EF8AC9CE2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14D-4B01-9013-4C5EF8AC9CE2}"/>
              </c:ext>
            </c:extLst>
          </c:dPt>
          <c:dPt>
            <c:idx val="2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514D-4B01-9013-4C5EF8AC9CE2}"/>
              </c:ext>
            </c:extLst>
          </c:dPt>
          <c:dPt>
            <c:idx val="3"/>
            <c:bubble3D val="0"/>
            <c:spPr>
              <a:solidFill>
                <a:srgbClr val="FFFF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514D-4B01-9013-4C5EF8AC9CE2}"/>
              </c:ext>
            </c:extLst>
          </c:dPt>
          <c:dPt>
            <c:idx val="4"/>
            <c:bubble3D val="0"/>
            <c:spPr>
              <a:solidFill>
                <a:srgbClr val="FFC000">
                  <a:lumMod val="40000"/>
                  <a:lumOff val="60000"/>
                </a:srgb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514D-4B01-9013-4C5EF8AC9CE2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514D-4B01-9013-4C5EF8AC9CE2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514D-4B01-9013-4C5EF8AC9CE2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514D-4B01-9013-4C5EF8AC9CE2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514D-4B01-9013-4C5EF8AC9CE2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514D-4B01-9013-4C5EF8AC9CE2}"/>
              </c:ext>
            </c:extLst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514D-4B01-9013-4C5EF8AC9CE2}"/>
              </c:ext>
            </c:extLst>
          </c:dPt>
          <c:dLbls>
            <c:dLbl>
              <c:idx val="0"/>
              <c:layout>
                <c:manualLayout>
                  <c:x val="-0.1970696750390237"/>
                  <c:y val="0.14978290918977905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14D-4B01-9013-4C5EF8AC9CE2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514D-4B01-9013-4C5EF8AC9CE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Input!$B$35:$B$39</c:f>
              <c:strCache>
                <c:ptCount val="5"/>
                <c:pt idx="0">
                  <c:v>1080p (%)</c:v>
                </c:pt>
                <c:pt idx="1">
                  <c:v>720p (%)</c:v>
                </c:pt>
                <c:pt idx="2">
                  <c:v>480p (%)</c:v>
                </c:pt>
                <c:pt idx="3">
                  <c:v>360p (%)</c:v>
                </c:pt>
                <c:pt idx="4">
                  <c:v>240p (%)</c:v>
                </c:pt>
              </c:strCache>
            </c:strRef>
          </c:cat>
          <c:val>
            <c:numRef>
              <c:f>Input!$D$35:$D$39</c:f>
              <c:numCache>
                <c:formatCode>0.00</c:formatCode>
                <c:ptCount val="5"/>
                <c:pt idx="0">
                  <c:v>100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514D-4B01-9013-4C5EF8AC9CE2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4472C4">
              <a:lumMod val="5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"/>
        <c:spPr>
          <a:solidFill>
            <a:srgbClr val="4472C4">
              <a:lumMod val="75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solidFill>
            <a:srgbClr val="4472C4">
              <a:lumMod val="60000"/>
              <a:lumOff val="4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solidFill>
            <a:srgbClr val="4472C4">
              <a:lumMod val="40000"/>
              <a:lumOff val="6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solidFill>
            <a:srgbClr val="70AD47">
              <a:lumMod val="5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"/>
        <c:spPr>
          <a:solidFill>
            <a:srgbClr val="70AD47">
              <a:lumMod val="75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spPr>
          <a:solidFill>
            <a:srgbClr val="70AD47">
              <a:lumMod val="60000"/>
              <a:lumOff val="4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"/>
        <c:spPr>
          <a:solidFill>
            <a:srgbClr val="70AD47">
              <a:lumMod val="40000"/>
              <a:lumOff val="6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  <c:spPr>
          <a:solidFill>
            <a:srgbClr val="FFFF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solidFill>
            <a:srgbClr val="FFC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4472C4">
              <a:lumMod val="75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2"/>
        <c:spPr>
          <a:solidFill>
            <a:srgbClr val="4472C4">
              <a:lumMod val="60000"/>
              <a:lumOff val="4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3"/>
        <c:spPr>
          <a:solidFill>
            <a:srgbClr val="4472C4">
              <a:lumMod val="40000"/>
              <a:lumOff val="6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4"/>
        <c:spPr>
          <a:solidFill>
            <a:srgbClr val="70AD47">
              <a:lumMod val="5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5"/>
        <c:spPr>
          <a:solidFill>
            <a:srgbClr val="70AD47">
              <a:lumMod val="75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6"/>
        <c:spPr>
          <a:solidFill>
            <a:srgbClr val="70AD47">
              <a:lumMod val="60000"/>
              <a:lumOff val="4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7"/>
        <c:spPr>
          <a:solidFill>
            <a:srgbClr val="70AD47">
              <a:lumMod val="40000"/>
              <a:lumOff val="6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8"/>
        <c:spPr>
          <a:solidFill>
            <a:srgbClr val="FFFF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9"/>
        <c:spPr>
          <a:solidFill>
            <a:srgbClr val="FFC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0"/>
        <c:spPr>
          <a:solidFill>
            <a:srgbClr val="FF0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1"/>
        <c:spPr>
          <a:solidFill>
            <a:srgbClr val="C00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rgbClr val="5B9BD5">
              <a:lumMod val="75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4"/>
        <c:spPr>
          <a:solidFill>
            <a:srgbClr val="FFFF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5"/>
        <c:spPr>
          <a:solidFill>
            <a:srgbClr val="FF0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6"/>
        <c:spPr>
          <a:solidFill>
            <a:sysClr val="windowText" lastClr="000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7"/>
        <c:spPr>
          <a:solidFill>
            <a:srgbClr val="70AD47">
              <a:lumMod val="75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Input!$E$1</c:f>
              <c:strCache>
                <c:ptCount val="1"/>
                <c:pt idx="0">
                  <c:v>Smartfren</c:v>
                </c:pt>
              </c:strCache>
            </c:strRef>
          </c:tx>
          <c:spPr>
            <a:solidFill>
              <a:srgbClr val="92D050"/>
            </a:solidFill>
          </c:spPr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7EE1-404F-9EF8-8B2C40A7F745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7EE1-404F-9EF8-8B2C40A7F745}"/>
              </c:ext>
            </c:extLst>
          </c:dPt>
          <c:dPt>
            <c:idx val="2"/>
            <c:bubble3D val="0"/>
            <c:spPr>
              <a:solidFill>
                <a:srgbClr val="70AD47">
                  <a:lumMod val="60000"/>
                  <a:lumOff val="40000"/>
                </a:srgb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7EE1-404F-9EF8-8B2C40A7F745}"/>
              </c:ext>
            </c:extLst>
          </c:dPt>
          <c:dPt>
            <c:idx val="3"/>
            <c:bubble3D val="0"/>
            <c:spPr>
              <a:solidFill>
                <a:srgbClr val="92D05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7EE1-404F-9EF8-8B2C40A7F745}"/>
              </c:ext>
            </c:extLst>
          </c:dPt>
          <c:dPt>
            <c:idx val="4"/>
            <c:bubble3D val="0"/>
            <c:spPr>
              <a:solidFill>
                <a:srgbClr val="70AD47">
                  <a:lumMod val="40000"/>
                  <a:lumOff val="60000"/>
                </a:srgb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7EE1-404F-9EF8-8B2C40A7F745}"/>
              </c:ext>
            </c:extLst>
          </c:dPt>
          <c:dPt>
            <c:idx val="5"/>
            <c:bubble3D val="0"/>
            <c:spPr>
              <a:solidFill>
                <a:srgbClr val="92D05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7EE1-404F-9EF8-8B2C40A7F745}"/>
              </c:ext>
            </c:extLst>
          </c:dPt>
          <c:dPt>
            <c:idx val="6"/>
            <c:bubble3D val="0"/>
            <c:spPr>
              <a:solidFill>
                <a:srgbClr val="92D05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7EE1-404F-9EF8-8B2C40A7F745}"/>
              </c:ext>
            </c:extLst>
          </c:dPt>
          <c:dPt>
            <c:idx val="7"/>
            <c:bubble3D val="0"/>
            <c:spPr>
              <a:solidFill>
                <a:srgbClr val="92D05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7EE1-404F-9EF8-8B2C40A7F745}"/>
              </c:ext>
            </c:extLst>
          </c:dPt>
          <c:dPt>
            <c:idx val="8"/>
            <c:bubble3D val="0"/>
            <c:spPr>
              <a:solidFill>
                <a:srgbClr val="92D05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7EE1-404F-9EF8-8B2C40A7F745}"/>
              </c:ext>
            </c:extLst>
          </c:dPt>
          <c:dPt>
            <c:idx val="9"/>
            <c:bubble3D val="0"/>
            <c:spPr>
              <a:solidFill>
                <a:srgbClr val="92D05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7EE1-404F-9EF8-8B2C40A7F745}"/>
              </c:ext>
            </c:extLst>
          </c:dPt>
          <c:dPt>
            <c:idx val="10"/>
            <c:bubble3D val="0"/>
            <c:spPr>
              <a:solidFill>
                <a:srgbClr val="92D05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7EE1-404F-9EF8-8B2C40A7F745}"/>
              </c:ext>
            </c:extLst>
          </c:dPt>
          <c:dLbls>
            <c:dLbl>
              <c:idx val="2"/>
              <c:layout>
                <c:manualLayout>
                  <c:x val="1.6359237592964759E-2"/>
                  <c:y val="8.452579059428908E-3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EE1-404F-9EF8-8B2C40A7F745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7-7EE1-404F-9EF8-8B2C40A7F745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9-7EE1-404F-9EF8-8B2C40A7F74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6350" cap="flat" cmpd="sng" algn="ctr">
                  <a:noFill/>
                  <a:prstDash val="solid"/>
                  <a:miter lim="800000"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Input!$B$35:$B$39</c:f>
              <c:strCache>
                <c:ptCount val="5"/>
                <c:pt idx="0">
                  <c:v>1080p (%)</c:v>
                </c:pt>
                <c:pt idx="1">
                  <c:v>720p (%)</c:v>
                </c:pt>
                <c:pt idx="2">
                  <c:v>480p (%)</c:v>
                </c:pt>
                <c:pt idx="3">
                  <c:v>360p (%)</c:v>
                </c:pt>
                <c:pt idx="4">
                  <c:v>240p (%)</c:v>
                </c:pt>
              </c:strCache>
            </c:strRef>
          </c:cat>
          <c:val>
            <c:numRef>
              <c:f>Input!$E$35:$E$39</c:f>
              <c:numCache>
                <c:formatCode>0.00</c:formatCode>
                <c:ptCount val="5"/>
                <c:pt idx="0">
                  <c:v>85.714285714285708</c:v>
                </c:pt>
                <c:pt idx="1">
                  <c:v>0</c:v>
                </c:pt>
                <c:pt idx="2">
                  <c:v>14.285714285714285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7EE1-404F-9EF8-8B2C40A7F745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4472C4">
              <a:lumMod val="5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"/>
        <c:spPr>
          <a:solidFill>
            <a:srgbClr val="4472C4">
              <a:lumMod val="75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solidFill>
            <a:srgbClr val="4472C4">
              <a:lumMod val="60000"/>
              <a:lumOff val="4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solidFill>
            <a:srgbClr val="4472C4">
              <a:lumMod val="40000"/>
              <a:lumOff val="6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solidFill>
            <a:srgbClr val="70AD47">
              <a:lumMod val="5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"/>
        <c:spPr>
          <a:solidFill>
            <a:srgbClr val="70AD47">
              <a:lumMod val="75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spPr>
          <a:solidFill>
            <a:srgbClr val="70AD47">
              <a:lumMod val="60000"/>
              <a:lumOff val="4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"/>
        <c:spPr>
          <a:solidFill>
            <a:srgbClr val="70AD47">
              <a:lumMod val="40000"/>
              <a:lumOff val="6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  <c:spPr>
          <a:solidFill>
            <a:srgbClr val="FFFF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solidFill>
            <a:srgbClr val="FFC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4472C4">
              <a:lumMod val="75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2"/>
        <c:spPr>
          <a:solidFill>
            <a:srgbClr val="4472C4">
              <a:lumMod val="60000"/>
              <a:lumOff val="4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3"/>
        <c:spPr>
          <a:solidFill>
            <a:srgbClr val="4472C4">
              <a:lumMod val="40000"/>
              <a:lumOff val="6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4"/>
        <c:spPr>
          <a:solidFill>
            <a:srgbClr val="70AD47">
              <a:lumMod val="5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5"/>
        <c:spPr>
          <a:solidFill>
            <a:srgbClr val="70AD47">
              <a:lumMod val="75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6"/>
        <c:spPr>
          <a:solidFill>
            <a:srgbClr val="70AD47">
              <a:lumMod val="60000"/>
              <a:lumOff val="4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7"/>
        <c:spPr>
          <a:solidFill>
            <a:srgbClr val="70AD47">
              <a:lumMod val="40000"/>
              <a:lumOff val="6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8"/>
        <c:spPr>
          <a:solidFill>
            <a:srgbClr val="FFFF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9"/>
        <c:spPr>
          <a:solidFill>
            <a:srgbClr val="FFC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0"/>
        <c:spPr>
          <a:solidFill>
            <a:srgbClr val="FF0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1"/>
        <c:spPr>
          <a:solidFill>
            <a:srgbClr val="C00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rgbClr val="5B9BD5">
              <a:lumMod val="75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4"/>
        <c:spPr>
          <a:solidFill>
            <a:srgbClr val="FFFF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5"/>
        <c:spPr>
          <a:solidFill>
            <a:srgbClr val="FF0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6"/>
        <c:spPr>
          <a:solidFill>
            <a:sysClr val="windowText" lastClr="000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7"/>
        <c:spPr>
          <a:solidFill>
            <a:srgbClr val="70AD47">
              <a:lumMod val="75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Input!$F$1</c:f>
              <c:strCache>
                <c:ptCount val="1"/>
                <c:pt idx="0">
                  <c:v>Telkomsel</c:v>
                </c:pt>
              </c:strCache>
            </c:strRef>
          </c:tx>
          <c:dPt>
            <c:idx val="0"/>
            <c:bubble3D val="0"/>
            <c:spPr>
              <a:solidFill>
                <a:srgbClr val="C000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380-4B5D-BB27-4BDAF881E1D2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380-4B5D-BB27-4BDAF881E1D2}"/>
              </c:ext>
            </c:extLst>
          </c:dPt>
          <c:dPt>
            <c:idx val="2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E380-4B5D-BB27-4BDAF881E1D2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E380-4B5D-BB27-4BDAF881E1D2}"/>
              </c:ext>
            </c:extLst>
          </c:dPt>
          <c:dPt>
            <c:idx val="4"/>
            <c:bubble3D val="0"/>
            <c:spPr>
              <a:solidFill>
                <a:srgbClr val="70AD47">
                  <a:lumMod val="75000"/>
                </a:srgb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E380-4B5D-BB27-4BDAF881E1D2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E380-4B5D-BB27-4BDAF881E1D2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E380-4B5D-BB27-4BDAF881E1D2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E380-4B5D-BB27-4BDAF881E1D2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E380-4B5D-BB27-4BDAF881E1D2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E380-4B5D-BB27-4BDAF881E1D2}"/>
              </c:ext>
            </c:extLst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E380-4B5D-BB27-4BDAF881E1D2}"/>
              </c:ext>
            </c:extLst>
          </c:dPt>
          <c:dLbls>
            <c:dLbl>
              <c:idx val="3"/>
              <c:layout>
                <c:manualLayout>
                  <c:x val="-0.34838145231846024"/>
                  <c:y val="8.0156751239428406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380-4B5D-BB27-4BDAF881E1D2}"/>
                </c:ext>
              </c:extLst>
            </c:dLbl>
            <c:dLbl>
              <c:idx val="4"/>
              <c:layout>
                <c:manualLayout>
                  <c:x val="0.2152759550889472"/>
                  <c:y val="2.9230825313502479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E380-4B5D-BB27-4BDAF881E1D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Input!$B$35:$B$39</c:f>
              <c:strCache>
                <c:ptCount val="5"/>
                <c:pt idx="0">
                  <c:v>1080p (%)</c:v>
                </c:pt>
                <c:pt idx="1">
                  <c:v>720p (%)</c:v>
                </c:pt>
                <c:pt idx="2">
                  <c:v>480p (%)</c:v>
                </c:pt>
                <c:pt idx="3">
                  <c:v>360p (%)</c:v>
                </c:pt>
                <c:pt idx="4">
                  <c:v>240p (%)</c:v>
                </c:pt>
              </c:strCache>
            </c:strRef>
          </c:cat>
          <c:val>
            <c:numRef>
              <c:f>Input!$F$35:$F$39</c:f>
              <c:numCache>
                <c:formatCode>0.00</c:formatCode>
                <c:ptCount val="5"/>
                <c:pt idx="0">
                  <c:v>100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E380-4B5D-BB27-4BDAF881E1D2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4472C4">
              <a:lumMod val="5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"/>
        <c:spPr>
          <a:solidFill>
            <a:srgbClr val="4472C4">
              <a:lumMod val="75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solidFill>
            <a:srgbClr val="4472C4">
              <a:lumMod val="60000"/>
              <a:lumOff val="4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solidFill>
            <a:srgbClr val="4472C4">
              <a:lumMod val="40000"/>
              <a:lumOff val="6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solidFill>
            <a:srgbClr val="70AD47">
              <a:lumMod val="5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"/>
        <c:spPr>
          <a:solidFill>
            <a:srgbClr val="70AD47">
              <a:lumMod val="75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spPr>
          <a:solidFill>
            <a:srgbClr val="70AD47">
              <a:lumMod val="60000"/>
              <a:lumOff val="4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"/>
        <c:spPr>
          <a:solidFill>
            <a:srgbClr val="70AD47">
              <a:lumMod val="40000"/>
              <a:lumOff val="6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  <c:spPr>
          <a:solidFill>
            <a:srgbClr val="FFFF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solidFill>
            <a:srgbClr val="FFC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4472C4">
              <a:lumMod val="75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2"/>
        <c:spPr>
          <a:solidFill>
            <a:srgbClr val="4472C4">
              <a:lumMod val="60000"/>
              <a:lumOff val="4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3"/>
        <c:spPr>
          <a:solidFill>
            <a:srgbClr val="4472C4">
              <a:lumMod val="40000"/>
              <a:lumOff val="6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4"/>
        <c:spPr>
          <a:solidFill>
            <a:srgbClr val="70AD47">
              <a:lumMod val="5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5"/>
        <c:spPr>
          <a:solidFill>
            <a:srgbClr val="70AD47">
              <a:lumMod val="75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6"/>
        <c:spPr>
          <a:solidFill>
            <a:srgbClr val="70AD47">
              <a:lumMod val="60000"/>
              <a:lumOff val="4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7"/>
        <c:spPr>
          <a:solidFill>
            <a:srgbClr val="70AD47">
              <a:lumMod val="40000"/>
              <a:lumOff val="6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8"/>
        <c:spPr>
          <a:solidFill>
            <a:srgbClr val="FFFF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9"/>
        <c:spPr>
          <a:solidFill>
            <a:srgbClr val="FFC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0"/>
        <c:spPr>
          <a:solidFill>
            <a:srgbClr val="FF0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1"/>
        <c:spPr>
          <a:solidFill>
            <a:srgbClr val="C00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rgbClr val="5B9BD5">
              <a:lumMod val="75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4"/>
        <c:spPr>
          <a:solidFill>
            <a:srgbClr val="FFFF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5"/>
        <c:spPr>
          <a:solidFill>
            <a:srgbClr val="FF0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6"/>
        <c:spPr>
          <a:solidFill>
            <a:sysClr val="windowText" lastClr="000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7"/>
        <c:spPr>
          <a:solidFill>
            <a:srgbClr val="70AD47">
              <a:lumMod val="75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Input!$G$1</c:f>
              <c:strCache>
                <c:ptCount val="1"/>
                <c:pt idx="0">
                  <c:v>XL</c:v>
                </c:pt>
              </c:strCache>
            </c:strRef>
          </c:tx>
          <c:spPr>
            <a:solidFill>
              <a:srgbClr val="5B9BD5">
                <a:lumMod val="60000"/>
                <a:lumOff val="40000"/>
              </a:srgbClr>
            </a:solidFill>
          </c:spPr>
          <c:dPt>
            <c:idx val="0"/>
            <c:bubble3D val="0"/>
            <c:spPr>
              <a:solidFill>
                <a:srgbClr val="5B9BD5">
                  <a:lumMod val="75000"/>
                </a:srgb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00D-4E1B-8C23-BEA1991965D2}"/>
              </c:ext>
            </c:extLst>
          </c:dPt>
          <c:dPt>
            <c:idx val="1"/>
            <c:bubble3D val="0"/>
            <c:spPr>
              <a:solidFill>
                <a:srgbClr val="5B9BD5">
                  <a:lumMod val="60000"/>
                  <a:lumOff val="40000"/>
                </a:srgb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00D-4E1B-8C23-BEA1991965D2}"/>
              </c:ext>
            </c:extLst>
          </c:dPt>
          <c:dPt>
            <c:idx val="2"/>
            <c:bubble3D val="0"/>
            <c:spPr>
              <a:solidFill>
                <a:srgbClr val="5B9BD5">
                  <a:lumMod val="50000"/>
                </a:srgb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800D-4E1B-8C23-BEA1991965D2}"/>
              </c:ext>
            </c:extLst>
          </c:dPt>
          <c:dPt>
            <c:idx val="3"/>
            <c:bubble3D val="0"/>
            <c:spPr>
              <a:solidFill>
                <a:srgbClr val="5B9BD5">
                  <a:lumMod val="75000"/>
                </a:srgb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800D-4E1B-8C23-BEA1991965D2}"/>
              </c:ext>
            </c:extLst>
          </c:dPt>
          <c:dPt>
            <c:idx val="4"/>
            <c:bubble3D val="0"/>
            <c:spPr>
              <a:solidFill>
                <a:srgbClr val="5B9BD5">
                  <a:lumMod val="60000"/>
                  <a:lumOff val="40000"/>
                </a:srgb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800D-4E1B-8C23-BEA1991965D2}"/>
              </c:ext>
            </c:extLst>
          </c:dPt>
          <c:dPt>
            <c:idx val="5"/>
            <c:bubble3D val="0"/>
            <c:spPr>
              <a:solidFill>
                <a:srgbClr val="5B9BD5">
                  <a:lumMod val="60000"/>
                  <a:lumOff val="40000"/>
                </a:srgb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800D-4E1B-8C23-BEA1991965D2}"/>
              </c:ext>
            </c:extLst>
          </c:dPt>
          <c:dPt>
            <c:idx val="6"/>
            <c:bubble3D val="0"/>
            <c:spPr>
              <a:solidFill>
                <a:srgbClr val="5B9BD5">
                  <a:lumMod val="60000"/>
                  <a:lumOff val="40000"/>
                </a:srgb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800D-4E1B-8C23-BEA1991965D2}"/>
              </c:ext>
            </c:extLst>
          </c:dPt>
          <c:dPt>
            <c:idx val="7"/>
            <c:bubble3D val="0"/>
            <c:spPr>
              <a:solidFill>
                <a:srgbClr val="5B9BD5">
                  <a:lumMod val="60000"/>
                  <a:lumOff val="40000"/>
                </a:srgb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800D-4E1B-8C23-BEA1991965D2}"/>
              </c:ext>
            </c:extLst>
          </c:dPt>
          <c:dPt>
            <c:idx val="8"/>
            <c:bubble3D val="0"/>
            <c:spPr>
              <a:solidFill>
                <a:srgbClr val="5B9BD5">
                  <a:lumMod val="60000"/>
                  <a:lumOff val="40000"/>
                </a:srgb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800D-4E1B-8C23-BEA1991965D2}"/>
              </c:ext>
            </c:extLst>
          </c:dPt>
          <c:dPt>
            <c:idx val="9"/>
            <c:bubble3D val="0"/>
            <c:spPr>
              <a:solidFill>
                <a:srgbClr val="5B9BD5">
                  <a:lumMod val="60000"/>
                  <a:lumOff val="40000"/>
                </a:srgb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800D-4E1B-8C23-BEA1991965D2}"/>
              </c:ext>
            </c:extLst>
          </c:dPt>
          <c:dPt>
            <c:idx val="10"/>
            <c:bubble3D val="0"/>
            <c:spPr>
              <a:solidFill>
                <a:srgbClr val="5B9BD5">
                  <a:lumMod val="60000"/>
                  <a:lumOff val="40000"/>
                </a:srgb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800D-4E1B-8C23-BEA1991965D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Input!$B$35:$B$39</c:f>
              <c:strCache>
                <c:ptCount val="5"/>
                <c:pt idx="0">
                  <c:v>1080p (%)</c:v>
                </c:pt>
                <c:pt idx="1">
                  <c:v>720p (%)</c:v>
                </c:pt>
                <c:pt idx="2">
                  <c:v>480p (%)</c:v>
                </c:pt>
                <c:pt idx="3">
                  <c:v>360p (%)</c:v>
                </c:pt>
                <c:pt idx="4">
                  <c:v>240p (%)</c:v>
                </c:pt>
              </c:strCache>
            </c:strRef>
          </c:cat>
          <c:val>
            <c:numRef>
              <c:f>Input!$G$35:$G$39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100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0D-4E1B-8C23-BEA1991965D2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4472C4">
              <a:lumMod val="5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"/>
        <c:spPr>
          <a:solidFill>
            <a:srgbClr val="4472C4">
              <a:lumMod val="75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solidFill>
            <a:srgbClr val="4472C4">
              <a:lumMod val="60000"/>
              <a:lumOff val="4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solidFill>
            <a:srgbClr val="4472C4">
              <a:lumMod val="40000"/>
              <a:lumOff val="6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solidFill>
            <a:srgbClr val="70AD47">
              <a:lumMod val="5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"/>
        <c:spPr>
          <a:solidFill>
            <a:srgbClr val="70AD47">
              <a:lumMod val="75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spPr>
          <a:solidFill>
            <a:srgbClr val="70AD47">
              <a:lumMod val="60000"/>
              <a:lumOff val="4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"/>
        <c:spPr>
          <a:solidFill>
            <a:srgbClr val="70AD47">
              <a:lumMod val="40000"/>
              <a:lumOff val="6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  <c:spPr>
          <a:solidFill>
            <a:srgbClr val="FFFF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solidFill>
            <a:srgbClr val="FFC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4472C4">
              <a:lumMod val="75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2"/>
        <c:spPr>
          <a:solidFill>
            <a:srgbClr val="4472C4">
              <a:lumMod val="60000"/>
              <a:lumOff val="4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3"/>
        <c:spPr>
          <a:solidFill>
            <a:srgbClr val="4472C4">
              <a:lumMod val="40000"/>
              <a:lumOff val="6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4"/>
        <c:spPr>
          <a:solidFill>
            <a:srgbClr val="70AD47">
              <a:lumMod val="5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5"/>
        <c:spPr>
          <a:solidFill>
            <a:srgbClr val="70AD47">
              <a:lumMod val="75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6"/>
        <c:spPr>
          <a:solidFill>
            <a:srgbClr val="70AD47">
              <a:lumMod val="60000"/>
              <a:lumOff val="4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7"/>
        <c:spPr>
          <a:solidFill>
            <a:srgbClr val="70AD47">
              <a:lumMod val="40000"/>
              <a:lumOff val="60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8"/>
        <c:spPr>
          <a:solidFill>
            <a:srgbClr val="FFFF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9"/>
        <c:spPr>
          <a:solidFill>
            <a:srgbClr val="FFC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0"/>
        <c:spPr>
          <a:solidFill>
            <a:srgbClr val="FF0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1"/>
        <c:spPr>
          <a:solidFill>
            <a:srgbClr val="C00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rgbClr val="5B9BD5">
              <a:lumMod val="75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4"/>
        <c:spPr>
          <a:solidFill>
            <a:srgbClr val="FFFF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5"/>
        <c:spPr>
          <a:solidFill>
            <a:srgbClr val="FF0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6"/>
        <c:spPr>
          <a:solidFill>
            <a:sysClr val="windowText" lastClr="000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7"/>
        <c:spPr>
          <a:solidFill>
            <a:srgbClr val="70AD47">
              <a:lumMod val="75000"/>
            </a:srgb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Input!$H$1</c:f>
              <c:strCache>
                <c:ptCount val="1"/>
              </c:strCache>
            </c:strRef>
          </c:tx>
          <c:dPt>
            <c:idx val="0"/>
            <c:bubble3D val="0"/>
            <c:spPr>
              <a:solidFill>
                <a:srgbClr val="7030A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BEE-478E-B37E-FB886C717A63}"/>
              </c:ext>
            </c:extLst>
          </c:dPt>
          <c:dPt>
            <c:idx val="1"/>
            <c:bubble3D val="0"/>
            <c:spPr>
              <a:solidFill>
                <a:srgbClr val="9933FF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BEE-478E-B37E-FB886C717A63}"/>
              </c:ext>
            </c:extLst>
          </c:dPt>
          <c:dPt>
            <c:idx val="2"/>
            <c:bubble3D val="0"/>
            <c:spPr>
              <a:solidFill>
                <a:srgbClr val="CC99FF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CBEE-478E-B37E-FB886C717A63}"/>
              </c:ext>
            </c:extLst>
          </c:dPt>
          <c:dPt>
            <c:idx val="3"/>
            <c:bubble3D val="0"/>
            <c:spPr>
              <a:solidFill>
                <a:srgbClr val="FFCCFF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CBEE-478E-B37E-FB886C717A63}"/>
              </c:ext>
            </c:extLst>
          </c:dPt>
          <c:dPt>
            <c:idx val="4"/>
            <c:bubble3D val="0"/>
            <c:spPr>
              <a:solidFill>
                <a:srgbClr val="70AD47">
                  <a:lumMod val="75000"/>
                </a:srgb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CBEE-478E-B37E-FB886C717A63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CBEE-478E-B37E-FB886C717A63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CBEE-478E-B37E-FB886C717A63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CBEE-478E-B37E-FB886C717A63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CBEE-478E-B37E-FB886C717A63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CBEE-478E-B37E-FB886C717A63}"/>
              </c:ext>
            </c:extLst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CBEE-478E-B37E-FB886C717A63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8D697715-06B6-4206-8761-C00B7EAFF78C}" type="CATEGORYNAME">
                      <a:rPr lang="en-US">
                        <a:solidFill>
                          <a:schemeClr val="bg1"/>
                        </a:solidFill>
                      </a:rPr>
                      <a:pPr/>
                      <a:t>[CATEGORY NAME]</a:t>
                    </a:fld>
                    <a:r>
                      <a:rPr lang="en-US" baseline="0">
                        <a:solidFill>
                          <a:schemeClr val="bg1"/>
                        </a:solidFill>
                      </a:rPr>
                      <a:t>, </a:t>
                    </a:r>
                    <a:fld id="{F51A83DE-18DE-401F-8BA2-81718FF18D30}" type="VALUE">
                      <a:rPr lang="en-US" baseline="0">
                        <a:solidFill>
                          <a:schemeClr val="bg1"/>
                        </a:solidFill>
                      </a:rPr>
                      <a:pPr/>
                      <a:t>[VALUE]</a:t>
                    </a:fld>
                    <a:endParaRPr lang="en-US" baseline="0">
                      <a:solidFill>
                        <a:schemeClr val="bg1"/>
                      </a:solidFill>
                    </a:endParaRPr>
                  </a:p>
                </c:rich>
              </c:tx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CBEE-478E-B37E-FB886C717A63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CBEE-478E-B37E-FB886C717A63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5-CBEE-478E-B37E-FB886C717A63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7-CBEE-478E-B37E-FB886C717A63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BEE-478E-B37E-FB886C717A6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Input!$B$35:$B$39</c:f>
              <c:strCache>
                <c:ptCount val="5"/>
                <c:pt idx="0">
                  <c:v>1080p (%)</c:v>
                </c:pt>
                <c:pt idx="1">
                  <c:v>720p (%)</c:v>
                </c:pt>
                <c:pt idx="2">
                  <c:v>480p (%)</c:v>
                </c:pt>
                <c:pt idx="3">
                  <c:v>360p (%)</c:v>
                </c:pt>
                <c:pt idx="4">
                  <c:v>240p (%)</c:v>
                </c:pt>
              </c:strCache>
            </c:strRef>
          </c:cat>
          <c:val>
            <c:numRef>
              <c:f>Input!$H$35:$H$39</c:f>
              <c:numCache>
                <c:formatCode>0.00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16-CBEE-478E-B37E-FB886C717A63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id-ID" sz="1400" b="0" i="0" baseline="0">
                <a:effectLst/>
              </a:rPr>
              <a:t>Average MOS</a:t>
            </a:r>
            <a:endParaRPr lang="id-ID" sz="11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Input!$B$46</c:f>
              <c:strCache>
                <c:ptCount val="1"/>
                <c:pt idx="0">
                  <c:v>Mean Opinion Score (MOS)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053-4F62-AC70-72C3E27B6712}"/>
              </c:ext>
            </c:extLst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053-4F62-AC70-72C3E27B6712}"/>
              </c:ext>
            </c:extLst>
          </c:dPt>
          <c:dPt>
            <c:idx val="2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053-4F62-AC70-72C3E27B6712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A053-4F62-AC70-72C3E27B6712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053-4F62-AC70-72C3E27B671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Input!$C$1:$H$1</c:f>
              <c:strCache>
                <c:ptCount val="5"/>
                <c:pt idx="0">
                  <c:v>3</c:v>
                </c:pt>
                <c:pt idx="1">
                  <c:v>Indosat Ooredoo</c:v>
                </c:pt>
                <c:pt idx="2">
                  <c:v>Smartfren</c:v>
                </c:pt>
                <c:pt idx="3">
                  <c:v>Telkomsel</c:v>
                </c:pt>
                <c:pt idx="4">
                  <c:v>XL</c:v>
                </c:pt>
              </c:strCache>
            </c:strRef>
          </c:cat>
          <c:val>
            <c:numRef>
              <c:f>Input!$C$46:$G$46</c:f>
              <c:numCache>
                <c:formatCode>0.00</c:formatCode>
                <c:ptCount val="5"/>
                <c:pt idx="0">
                  <c:v>4.3449999999999998</c:v>
                </c:pt>
                <c:pt idx="1">
                  <c:v>4.3659999999999997</c:v>
                </c:pt>
                <c:pt idx="2">
                  <c:v>4.2819999999999991</c:v>
                </c:pt>
                <c:pt idx="3">
                  <c:v>4.3900000000000006</c:v>
                </c:pt>
                <c:pt idx="4">
                  <c:v>4.2950000000000008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53-4F62-AC70-72C3E27B671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573680224"/>
        <c:axId val="1485241792"/>
      </c:barChart>
      <c:catAx>
        <c:axId val="15736802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5241792"/>
        <c:crosses val="autoZero"/>
        <c:auto val="1"/>
        <c:lblAlgn val="ctr"/>
        <c:lblOffset val="100"/>
        <c:noMultiLvlLbl val="0"/>
      </c:catAx>
      <c:valAx>
        <c:axId val="1485241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3680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a:effectLst/>
              </a:rPr>
              <a:t>Whatsapp Call Setup Success Rate (%)</a:t>
            </a:r>
            <a:endParaRPr lang="id-ID" sz="11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Input!$B$43</c:f>
              <c:strCache>
                <c:ptCount val="1"/>
                <c:pt idx="0">
                  <c:v>Success Call (%)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155-4C15-A651-4D23F60CFF9E}"/>
              </c:ext>
            </c:extLst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155-4C15-A651-4D23F60CFF9E}"/>
              </c:ext>
            </c:extLst>
          </c:dPt>
          <c:dPt>
            <c:idx val="2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155-4C15-A651-4D23F60CFF9E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155-4C15-A651-4D23F60CFF9E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155-4C15-A651-4D23F60CFF9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Input!$C$1:$H$1</c:f>
              <c:strCache>
                <c:ptCount val="5"/>
                <c:pt idx="0">
                  <c:v>3</c:v>
                </c:pt>
                <c:pt idx="1">
                  <c:v>Indosat Ooredoo</c:v>
                </c:pt>
                <c:pt idx="2">
                  <c:v>Smartfren</c:v>
                </c:pt>
                <c:pt idx="3">
                  <c:v>Telkomsel</c:v>
                </c:pt>
                <c:pt idx="4">
                  <c:v>XL</c:v>
                </c:pt>
              </c:strCache>
            </c:strRef>
          </c:cat>
          <c:val>
            <c:numRef>
              <c:f>Input!$C$43:$G$43</c:f>
              <c:numCache>
                <c:formatCode>0.00</c:formatCode>
                <c:ptCount val="5"/>
                <c:pt idx="0">
                  <c:v>100</c:v>
                </c:pt>
                <c:pt idx="1">
                  <c:v>83.333333333333343</c:v>
                </c:pt>
                <c:pt idx="2">
                  <c:v>83.333333333333343</c:v>
                </c:pt>
                <c:pt idx="3">
                  <c:v>57.142857142857139</c:v>
                </c:pt>
                <c:pt idx="4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155-4C15-A651-4D23F60CFF9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573680224"/>
        <c:axId val="1485241792"/>
      </c:barChart>
      <c:catAx>
        <c:axId val="15736802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5241792"/>
        <c:crosses val="autoZero"/>
        <c:auto val="1"/>
        <c:lblAlgn val="ctr"/>
        <c:lblOffset val="100"/>
        <c:noMultiLvlLbl val="0"/>
      </c:catAx>
      <c:valAx>
        <c:axId val="1485241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3680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a:effectLst/>
              </a:rPr>
              <a:t>Average Whatsapp Call Setup Time (s)</a:t>
            </a:r>
            <a:endParaRPr lang="id-ID" sz="11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Input!$B$45</c:f>
              <c:strCache>
                <c:ptCount val="1"/>
                <c:pt idx="0">
                  <c:v>Call Setup Time (s)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BEA-4BE3-9759-80D5D461C889}"/>
              </c:ext>
            </c:extLst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BEA-4BE3-9759-80D5D461C889}"/>
              </c:ext>
            </c:extLst>
          </c:dPt>
          <c:dPt>
            <c:idx val="2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BEA-4BE3-9759-80D5D461C889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BEA-4BE3-9759-80D5D461C889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BEA-4BE3-9759-80D5D461C88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Input!$C$1:$H$1</c:f>
              <c:strCache>
                <c:ptCount val="5"/>
                <c:pt idx="0">
                  <c:v>3</c:v>
                </c:pt>
                <c:pt idx="1">
                  <c:v>Indosat Ooredoo</c:v>
                </c:pt>
                <c:pt idx="2">
                  <c:v>Smartfren</c:v>
                </c:pt>
                <c:pt idx="3">
                  <c:v>Telkomsel</c:v>
                </c:pt>
                <c:pt idx="4">
                  <c:v>XL</c:v>
                </c:pt>
              </c:strCache>
            </c:strRef>
          </c:cat>
          <c:val>
            <c:numRef>
              <c:f>Input!$C$45:$G$45</c:f>
              <c:numCache>
                <c:formatCode>0.00</c:formatCode>
                <c:ptCount val="5"/>
                <c:pt idx="0">
                  <c:v>1.5564999878406525</c:v>
                </c:pt>
                <c:pt idx="1">
                  <c:v>1.5979999780654908</c:v>
                </c:pt>
                <c:pt idx="2">
                  <c:v>1.646666665871938</c:v>
                </c:pt>
                <c:pt idx="3">
                  <c:v>1.578499972820282</c:v>
                </c:pt>
                <c:pt idx="4">
                  <c:v>1.5652500092983246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BEA-4BE3-9759-80D5D461C88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573680224"/>
        <c:axId val="1485241792"/>
      </c:barChart>
      <c:catAx>
        <c:axId val="15736802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5241792"/>
        <c:crosses val="autoZero"/>
        <c:auto val="1"/>
        <c:lblAlgn val="ctr"/>
        <c:lblOffset val="100"/>
        <c:noMultiLvlLbl val="0"/>
      </c:catAx>
      <c:valAx>
        <c:axId val="1485241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3680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Whatsapp Messages Send Time (s)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Input!$B$49</c:f>
              <c:strCache>
                <c:ptCount val="1"/>
                <c:pt idx="0">
                  <c:v>Avg Duration Send(s)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70-42AF-9923-63C0AB53F9C5}"/>
              </c:ext>
            </c:extLst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70-42AF-9923-63C0AB53F9C5}"/>
              </c:ext>
            </c:extLst>
          </c:dPt>
          <c:dPt>
            <c:idx val="2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70-42AF-9923-63C0AB53F9C5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70-42AF-9923-63C0AB53F9C5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70-42AF-9923-63C0AB53F9C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Input!$C$1:$H$1</c:f>
              <c:strCache>
                <c:ptCount val="5"/>
                <c:pt idx="0">
                  <c:v>3</c:v>
                </c:pt>
                <c:pt idx="1">
                  <c:v>Indosat Ooredoo</c:v>
                </c:pt>
                <c:pt idx="2">
                  <c:v>Smartfren</c:v>
                </c:pt>
                <c:pt idx="3">
                  <c:v>Telkomsel</c:v>
                </c:pt>
                <c:pt idx="4">
                  <c:v>XL</c:v>
                </c:pt>
              </c:strCache>
            </c:strRef>
          </c:cat>
          <c:val>
            <c:numRef>
              <c:f>Input!$C$49:$G$49</c:f>
              <c:numCache>
                <c:formatCode>0.00</c:formatCode>
                <c:ptCount val="5"/>
                <c:pt idx="0">
                  <c:v>1.3505999999999998</c:v>
                </c:pt>
                <c:pt idx="1">
                  <c:v>1.1679999999999999</c:v>
                </c:pt>
                <c:pt idx="2">
                  <c:v>1.5012000000000001</c:v>
                </c:pt>
                <c:pt idx="3">
                  <c:v>2.0017999999999998</c:v>
                </c:pt>
                <c:pt idx="4">
                  <c:v>1.1282000000000001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470-42AF-9923-63C0AB53F9C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573680224"/>
        <c:axId val="1485241792"/>
      </c:barChart>
      <c:catAx>
        <c:axId val="15736802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5241792"/>
        <c:crosses val="autoZero"/>
        <c:auto val="1"/>
        <c:lblAlgn val="ctr"/>
        <c:lblOffset val="100"/>
        <c:noMultiLvlLbl val="0"/>
      </c:catAx>
      <c:valAx>
        <c:axId val="1485241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3680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Whatsapp Messages Success Rate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lang="en-US"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Input!$B$47</c:f>
              <c:strCache>
                <c:ptCount val="1"/>
                <c:pt idx="0">
                  <c:v>Success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70-42AF-9923-63C0AB53F9C5}"/>
              </c:ext>
            </c:extLst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70-42AF-9923-63C0AB53F9C5}"/>
              </c:ext>
            </c:extLst>
          </c:dPt>
          <c:dPt>
            <c:idx val="2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70-42AF-9923-63C0AB53F9C5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70-42AF-9923-63C0AB53F9C5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70-42AF-9923-63C0AB53F9C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Input!$C$1:$H$1</c:f>
              <c:strCache>
                <c:ptCount val="5"/>
                <c:pt idx="0">
                  <c:v>3</c:v>
                </c:pt>
                <c:pt idx="1">
                  <c:v>Indosat Ooredoo</c:v>
                </c:pt>
                <c:pt idx="2">
                  <c:v>Smartfren</c:v>
                </c:pt>
                <c:pt idx="3">
                  <c:v>Telkomsel</c:v>
                </c:pt>
                <c:pt idx="4">
                  <c:v>XL</c:v>
                </c:pt>
              </c:strCache>
            </c:strRef>
          </c:cat>
          <c:val>
            <c:numRef>
              <c:f>Input!$C$47:$G$47</c:f>
              <c:numCache>
                <c:formatCode>0.00</c:formatCode>
                <c:ptCount val="5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470-42AF-9923-63C0AB53F9C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573680224"/>
        <c:axId val="1485241792"/>
      </c:barChart>
      <c:catAx>
        <c:axId val="15736802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5241792"/>
        <c:crosses val="autoZero"/>
        <c:auto val="1"/>
        <c:lblAlgn val="ctr"/>
        <c:lblOffset val="100"/>
        <c:noMultiLvlLbl val="0"/>
      </c:catAx>
      <c:valAx>
        <c:axId val="1485241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3680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Input!$B$59</c:f>
              <c:strCache>
                <c:ptCount val="1"/>
                <c:pt idx="0">
                  <c:v>Average Voice Quality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70-42AF-9923-63C0AB53F9C5}"/>
              </c:ext>
            </c:extLst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70-42AF-9923-63C0AB53F9C5}"/>
              </c:ext>
            </c:extLst>
          </c:dPt>
          <c:dPt>
            <c:idx val="2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70-42AF-9923-63C0AB53F9C5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70-42AF-9923-63C0AB53F9C5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70-42AF-9923-63C0AB53F9C5}"/>
              </c:ext>
            </c:extLst>
          </c:dPt>
          <c:dPt>
            <c:idx val="5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3E9-4B8A-B6EE-E5909C835E5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Input!$C$1:$G$1</c:f>
              <c:strCache>
                <c:ptCount val="5"/>
                <c:pt idx="0">
                  <c:v>3</c:v>
                </c:pt>
                <c:pt idx="1">
                  <c:v>Indosat Ooredoo</c:v>
                </c:pt>
                <c:pt idx="2">
                  <c:v>Smartfren</c:v>
                </c:pt>
                <c:pt idx="3">
                  <c:v>Telkomsel</c:v>
                </c:pt>
                <c:pt idx="4">
                  <c:v>XL</c:v>
                </c:pt>
              </c:strCache>
            </c:strRef>
          </c:cat>
          <c:val>
            <c:numRef>
              <c:f>Input!$C$59:$G$59</c:f>
              <c:numCache>
                <c:formatCode>0.00</c:formatCode>
                <c:ptCount val="5"/>
                <c:pt idx="0">
                  <c:v>4.0395098036410761</c:v>
                </c:pt>
                <c:pt idx="1">
                  <c:v>4.2961290709434019</c:v>
                </c:pt>
                <c:pt idx="2">
                  <c:v>4.0095967717709078</c:v>
                </c:pt>
                <c:pt idx="3">
                  <c:v>4.0648360555289225</c:v>
                </c:pt>
                <c:pt idx="4">
                  <c:v>4.2041803373665108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470-42AF-9923-63C0AB53F9C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573680224"/>
        <c:axId val="1485241792"/>
      </c:barChart>
      <c:catAx>
        <c:axId val="15736802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5241792"/>
        <c:crosses val="autoZero"/>
        <c:auto val="1"/>
        <c:lblAlgn val="ctr"/>
        <c:lblOffset val="100"/>
        <c:noMultiLvlLbl val="0"/>
      </c:catAx>
      <c:valAx>
        <c:axId val="1485241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3680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Call Success Rate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Input!$B$57</c:f>
              <c:strCache>
                <c:ptCount val="1"/>
                <c:pt idx="0">
                  <c:v>Success Call (%)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70-42AF-9923-63C0AB53F9C5}"/>
              </c:ext>
            </c:extLst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70-42AF-9923-63C0AB53F9C5}"/>
              </c:ext>
            </c:extLst>
          </c:dPt>
          <c:dPt>
            <c:idx val="2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70-42AF-9923-63C0AB53F9C5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70-42AF-9923-63C0AB53F9C5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70-42AF-9923-63C0AB53F9C5}"/>
              </c:ext>
            </c:extLst>
          </c:dPt>
          <c:dPt>
            <c:idx val="5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3E9-4B8A-B6EE-E5909C835E5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Input!$C$1:$G$1</c:f>
              <c:strCache>
                <c:ptCount val="5"/>
                <c:pt idx="0">
                  <c:v>3</c:v>
                </c:pt>
                <c:pt idx="1">
                  <c:v>Indosat Ooredoo</c:v>
                </c:pt>
                <c:pt idx="2">
                  <c:v>Smartfren</c:v>
                </c:pt>
                <c:pt idx="3">
                  <c:v>Telkomsel</c:v>
                </c:pt>
                <c:pt idx="4">
                  <c:v>XL</c:v>
                </c:pt>
              </c:strCache>
            </c:strRef>
          </c:cat>
          <c:val>
            <c:numRef>
              <c:f>Input!$C$57:$G$57</c:f>
              <c:numCache>
                <c:formatCode>0.00</c:formatCode>
                <c:ptCount val="5"/>
                <c:pt idx="0">
                  <c:v>84.848484848484844</c:v>
                </c:pt>
                <c:pt idx="1">
                  <c:v>100</c:v>
                </c:pt>
                <c:pt idx="2">
                  <c:v>96.875</c:v>
                </c:pt>
                <c:pt idx="3">
                  <c:v>96.774193548387103</c:v>
                </c:pt>
                <c:pt idx="4">
                  <c:v>96.875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470-42AF-9923-63C0AB53F9C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573680224"/>
        <c:axId val="1485241792"/>
      </c:barChart>
      <c:catAx>
        <c:axId val="15736802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5241792"/>
        <c:crosses val="autoZero"/>
        <c:auto val="1"/>
        <c:lblAlgn val="ctr"/>
        <c:lblOffset val="100"/>
        <c:noMultiLvlLbl val="0"/>
      </c:catAx>
      <c:valAx>
        <c:axId val="1485241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3680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Call Setup Time (s)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Input!$B$59</c:f>
              <c:strCache>
                <c:ptCount val="1"/>
                <c:pt idx="0">
                  <c:v>Average Voice Quality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70-42AF-9923-63C0AB53F9C5}"/>
              </c:ext>
            </c:extLst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70-42AF-9923-63C0AB53F9C5}"/>
              </c:ext>
            </c:extLst>
          </c:dPt>
          <c:dPt>
            <c:idx val="2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70-42AF-9923-63C0AB53F9C5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70-42AF-9923-63C0AB53F9C5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70-42AF-9923-63C0AB53F9C5}"/>
              </c:ext>
            </c:extLst>
          </c:dPt>
          <c:dPt>
            <c:idx val="5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3E9-4B8A-B6EE-E5909C835E5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Input!$C$1:$G$1</c:f>
              <c:strCache>
                <c:ptCount val="5"/>
                <c:pt idx="0">
                  <c:v>3</c:v>
                </c:pt>
                <c:pt idx="1">
                  <c:v>Indosat Ooredoo</c:v>
                </c:pt>
                <c:pt idx="2">
                  <c:v>Smartfren</c:v>
                </c:pt>
                <c:pt idx="3">
                  <c:v>Telkomsel</c:v>
                </c:pt>
                <c:pt idx="4">
                  <c:v>XL</c:v>
                </c:pt>
              </c:strCache>
            </c:strRef>
          </c:cat>
          <c:val>
            <c:numRef>
              <c:f>Input!$C$59:$G$59</c:f>
              <c:numCache>
                <c:formatCode>0.00</c:formatCode>
                <c:ptCount val="5"/>
                <c:pt idx="0">
                  <c:v>4.0395098036410761</c:v>
                </c:pt>
                <c:pt idx="1">
                  <c:v>4.2961290709434019</c:v>
                </c:pt>
                <c:pt idx="2">
                  <c:v>4.0095967717709078</c:v>
                </c:pt>
                <c:pt idx="3">
                  <c:v>4.0648360555289225</c:v>
                </c:pt>
                <c:pt idx="4">
                  <c:v>4.2041803373665108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470-42AF-9923-63C0AB53F9C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573680224"/>
        <c:axId val="1485241792"/>
      </c:barChart>
      <c:catAx>
        <c:axId val="15736802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5241792"/>
        <c:crosses val="autoZero"/>
        <c:auto val="1"/>
        <c:lblAlgn val="ctr"/>
        <c:lblOffset val="100"/>
        <c:noMultiLvlLbl val="0"/>
      </c:catAx>
      <c:valAx>
        <c:axId val="1485241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3680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SMS Delivered &lt; 1 Menit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Input!$B$52</c:f>
              <c:strCache>
                <c:ptCount val="1"/>
                <c:pt idx="0">
                  <c:v>Persentase SMS Diterima Dalam &lt; 1 Menit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70-42AF-9923-63C0AB53F9C5}"/>
              </c:ext>
            </c:extLst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70-42AF-9923-63C0AB53F9C5}"/>
              </c:ext>
            </c:extLst>
          </c:dPt>
          <c:dPt>
            <c:idx val="2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70-42AF-9923-63C0AB53F9C5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70-42AF-9923-63C0AB53F9C5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70-42AF-9923-63C0AB53F9C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Input!$C$1:$H$1</c15:sqref>
                  </c15:fullRef>
                </c:ext>
              </c:extLst>
              <c:f>Input!$C$1:$G$1</c:f>
              <c:strCache>
                <c:ptCount val="5"/>
                <c:pt idx="0">
                  <c:v>3</c:v>
                </c:pt>
                <c:pt idx="1">
                  <c:v>Indosat Ooredoo</c:v>
                </c:pt>
                <c:pt idx="2">
                  <c:v>Smartfren</c:v>
                </c:pt>
                <c:pt idx="3">
                  <c:v>Telkomsel</c:v>
                </c:pt>
                <c:pt idx="4">
                  <c:v>XL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Input!$C$52:$H$52</c15:sqref>
                  </c15:fullRef>
                </c:ext>
              </c:extLst>
              <c:f>Input!$C$52:$G$52</c:f>
              <c:numCache>
                <c:formatCode>General</c:formatCode>
                <c:ptCount val="5"/>
                <c:pt idx="0">
                  <c:v>100</c:v>
                </c:pt>
                <c:pt idx="1">
                  <c:v>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Input!$H$52</c15:sqref>
                  <c15:spPr xmlns:c15="http://schemas.microsoft.com/office/drawing/2012/chart">
                    <a:solidFill>
                      <a:srgbClr val="7030A0"/>
                    </a:solidFill>
                    <a:ln>
                      <a:noFill/>
                    </a:ln>
                    <a:effectLst/>
                  </c15:spPr>
                  <c15:invertIfNegative val="0"/>
                  <c15:bubble3D val="0"/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0A-2470-42AF-9923-63C0AB53F9C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573680224"/>
        <c:axId val="1485241792"/>
      </c:barChart>
      <c:catAx>
        <c:axId val="15736802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5241792"/>
        <c:crosses val="autoZero"/>
        <c:auto val="1"/>
        <c:lblAlgn val="ctr"/>
        <c:lblOffset val="100"/>
        <c:noMultiLvlLbl val="0"/>
      </c:catAx>
      <c:valAx>
        <c:axId val="1485241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3680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SMS Delivered Time (s)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Input!$B$53</c:f>
              <c:strCache>
                <c:ptCount val="1"/>
                <c:pt idx="0">
                  <c:v>SMS Delivered (Average Sec)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70-42AF-9923-63C0AB53F9C5}"/>
              </c:ext>
            </c:extLst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70-42AF-9923-63C0AB53F9C5}"/>
              </c:ext>
            </c:extLst>
          </c:dPt>
          <c:dPt>
            <c:idx val="2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70-42AF-9923-63C0AB53F9C5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70-42AF-9923-63C0AB53F9C5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70-42AF-9923-63C0AB53F9C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Input!$C$1:$H$1</c15:sqref>
                  </c15:fullRef>
                </c:ext>
              </c:extLst>
              <c:f>Input!$C$1:$G$1</c:f>
              <c:strCache>
                <c:ptCount val="5"/>
                <c:pt idx="0">
                  <c:v>3</c:v>
                </c:pt>
                <c:pt idx="1">
                  <c:v>Indosat Ooredoo</c:v>
                </c:pt>
                <c:pt idx="2">
                  <c:v>Smartfren</c:v>
                </c:pt>
                <c:pt idx="3">
                  <c:v>Telkomsel</c:v>
                </c:pt>
                <c:pt idx="4">
                  <c:v>XL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Input!$C$53:$H$53</c15:sqref>
                  </c15:fullRef>
                </c:ext>
              </c:extLst>
              <c:f>Input!$C$53:$G$53</c:f>
              <c:numCache>
                <c:formatCode>0.00</c:formatCode>
                <c:ptCount val="5"/>
                <c:pt idx="0">
                  <c:v>1.4430000000000001</c:v>
                </c:pt>
                <c:pt idx="1">
                  <c:v>0</c:v>
                </c:pt>
                <c:pt idx="2">
                  <c:v>2.2685</c:v>
                </c:pt>
                <c:pt idx="3">
                  <c:v>1.306</c:v>
                </c:pt>
                <c:pt idx="4">
                  <c:v>1.9198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Input!$H$53</c15:sqref>
                  <c15:spPr xmlns:c15="http://schemas.microsoft.com/office/drawing/2012/chart">
                    <a:solidFill>
                      <a:srgbClr val="7030A0"/>
                    </a:solidFill>
                    <a:ln>
                      <a:noFill/>
                    </a:ln>
                    <a:effectLst/>
                  </c15:spPr>
                  <c15:invertIfNegative val="0"/>
                  <c15:bubble3D val="0"/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0A-2470-42AF-9923-63C0AB53F9C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573680224"/>
        <c:axId val="1485241792"/>
      </c:barChart>
      <c:catAx>
        <c:axId val="15736802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5241792"/>
        <c:crosses val="autoZero"/>
        <c:auto val="1"/>
        <c:lblAlgn val="ctr"/>
        <c:lblOffset val="100"/>
        <c:noMultiLvlLbl val="0"/>
      </c:catAx>
      <c:valAx>
        <c:axId val="1485241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3680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4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Relationship Id="rId4" Type="http://schemas.openxmlformats.org/officeDocument/2006/relationships/chart" Target="../charts/chart22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4" Type="http://schemas.openxmlformats.org/officeDocument/2006/relationships/chart" Target="../charts/chart26.xm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4.xml"/><Relationship Id="rId3" Type="http://schemas.openxmlformats.org/officeDocument/2006/relationships/chart" Target="../charts/chart29.xml"/><Relationship Id="rId7" Type="http://schemas.openxmlformats.org/officeDocument/2006/relationships/chart" Target="../charts/chart33.xml"/><Relationship Id="rId2" Type="http://schemas.openxmlformats.org/officeDocument/2006/relationships/chart" Target="../charts/chart28.xml"/><Relationship Id="rId1" Type="http://schemas.openxmlformats.org/officeDocument/2006/relationships/chart" Target="../charts/chart27.xml"/><Relationship Id="rId6" Type="http://schemas.openxmlformats.org/officeDocument/2006/relationships/chart" Target="../charts/chart32.xml"/><Relationship Id="rId5" Type="http://schemas.openxmlformats.org/officeDocument/2006/relationships/chart" Target="../charts/chart31.xml"/><Relationship Id="rId4" Type="http://schemas.openxmlformats.org/officeDocument/2006/relationships/chart" Target="../charts/chart30.xml"/><Relationship Id="rId9" Type="http://schemas.openxmlformats.org/officeDocument/2006/relationships/chart" Target="../charts/chart3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8.xml"/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0.xml"/><Relationship Id="rId1" Type="http://schemas.openxmlformats.org/officeDocument/2006/relationships/chart" Target="../charts/chart39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676275</xdr:colOff>
          <xdr:row>19</xdr:row>
          <xdr:rowOff>0</xdr:rowOff>
        </xdr:from>
        <xdr:to>
          <xdr:col>5</xdr:col>
          <xdr:colOff>0</xdr:colOff>
          <xdr:row>28</xdr:row>
          <xdr:rowOff>161925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1. RUN SUMMARY RADIO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676275</xdr:colOff>
          <xdr:row>14</xdr:row>
          <xdr:rowOff>0</xdr:rowOff>
        </xdr:from>
        <xdr:to>
          <xdr:col>12</xdr:col>
          <xdr:colOff>400050</xdr:colOff>
          <xdr:row>22</xdr:row>
          <xdr:rowOff>190500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1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2. RUN SUMMARY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13</xdr:row>
          <xdr:rowOff>190500</xdr:rowOff>
        </xdr:from>
        <xdr:to>
          <xdr:col>18</xdr:col>
          <xdr:colOff>409575</xdr:colOff>
          <xdr:row>22</xdr:row>
          <xdr:rowOff>180975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1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3. RUN SUMMARY VOICE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24</xdr:row>
          <xdr:rowOff>180975</xdr:rowOff>
        </xdr:from>
        <xdr:to>
          <xdr:col>12</xdr:col>
          <xdr:colOff>409575</xdr:colOff>
          <xdr:row>33</xdr:row>
          <xdr:rowOff>171450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1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4. RUN CHARTS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141</xdr:col>
      <xdr:colOff>313765</xdr:colOff>
      <xdr:row>5</xdr:row>
      <xdr:rowOff>45943</xdr:rowOff>
    </xdr:from>
    <xdr:to>
      <xdr:col>147</xdr:col>
      <xdr:colOff>327212</xdr:colOff>
      <xdr:row>20</xdr:row>
      <xdr:rowOff>99732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476250</xdr:colOff>
      <xdr:row>0</xdr:row>
      <xdr:rowOff>0</xdr:rowOff>
    </xdr:from>
    <xdr:to>
      <xdr:col>10</xdr:col>
      <xdr:colOff>476250</xdr:colOff>
      <xdr:row>15</xdr:row>
      <xdr:rowOff>28575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0</xdr:row>
      <xdr:rowOff>0</xdr:rowOff>
    </xdr:from>
    <xdr:to>
      <xdr:col>4</xdr:col>
      <xdr:colOff>9525</xdr:colOff>
      <xdr:row>15</xdr:row>
      <xdr:rowOff>28575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228600</xdr:colOff>
      <xdr:row>0</xdr:row>
      <xdr:rowOff>0</xdr:rowOff>
    </xdr:from>
    <xdr:to>
      <xdr:col>7</xdr:col>
      <xdr:colOff>228600</xdr:colOff>
      <xdr:row>15</xdr:row>
      <xdr:rowOff>28575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476250</xdr:colOff>
      <xdr:row>13</xdr:row>
      <xdr:rowOff>161925</xdr:rowOff>
    </xdr:from>
    <xdr:to>
      <xdr:col>10</xdr:col>
      <xdr:colOff>476250</xdr:colOff>
      <xdr:row>29</xdr:row>
      <xdr:rowOff>9525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238125</xdr:colOff>
      <xdr:row>13</xdr:row>
      <xdr:rowOff>161925</xdr:rowOff>
    </xdr:from>
    <xdr:to>
      <xdr:col>7</xdr:col>
      <xdr:colOff>238125</xdr:colOff>
      <xdr:row>29</xdr:row>
      <xdr:rowOff>9525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13</xdr:row>
      <xdr:rowOff>161925</xdr:rowOff>
    </xdr:from>
    <xdr:to>
      <xdr:col>4</xdr:col>
      <xdr:colOff>9525</xdr:colOff>
      <xdr:row>29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393192</xdr:colOff>
      <xdr:row>15</xdr:row>
      <xdr:rowOff>28575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15</xdr:row>
      <xdr:rowOff>19050</xdr:rowOff>
    </xdr:from>
    <xdr:to>
      <xdr:col>8</xdr:col>
      <xdr:colOff>393192</xdr:colOff>
      <xdr:row>30</xdr:row>
      <xdr:rowOff>47625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295275</xdr:colOff>
      <xdr:row>0</xdr:row>
      <xdr:rowOff>0</xdr:rowOff>
    </xdr:from>
    <xdr:to>
      <xdr:col>14</xdr:col>
      <xdr:colOff>66675</xdr:colOff>
      <xdr:row>15</xdr:row>
      <xdr:rowOff>28575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333375</xdr:colOff>
      <xdr:row>15</xdr:row>
      <xdr:rowOff>76200</xdr:rowOff>
    </xdr:from>
    <xdr:to>
      <xdr:col>14</xdr:col>
      <xdr:colOff>104775</xdr:colOff>
      <xdr:row>30</xdr:row>
      <xdr:rowOff>104775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19050</xdr:colOff>
      <xdr:row>0</xdr:row>
      <xdr:rowOff>19050</xdr:rowOff>
    </xdr:from>
    <xdr:to>
      <xdr:col>6</xdr:col>
      <xdr:colOff>476250</xdr:colOff>
      <xdr:row>15</xdr:row>
      <xdr:rowOff>47625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16</xdr:row>
      <xdr:rowOff>9525</xdr:rowOff>
    </xdr:from>
    <xdr:to>
      <xdr:col>6</xdr:col>
      <xdr:colOff>457200</xdr:colOff>
      <xdr:row>31</xdr:row>
      <xdr:rowOff>38100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0</xdr:colOff>
      <xdr:row>15</xdr:row>
      <xdr:rowOff>28575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15</xdr:row>
      <xdr:rowOff>19050</xdr:rowOff>
    </xdr:from>
    <xdr:to>
      <xdr:col>6</xdr:col>
      <xdr:colOff>0</xdr:colOff>
      <xdr:row>30</xdr:row>
      <xdr:rowOff>47625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676275</xdr:colOff>
      <xdr:row>0</xdr:row>
      <xdr:rowOff>0</xdr:rowOff>
    </xdr:from>
    <xdr:to>
      <xdr:col>11</xdr:col>
      <xdr:colOff>676275</xdr:colOff>
      <xdr:row>15</xdr:row>
      <xdr:rowOff>28575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666750</xdr:colOff>
      <xdr:row>0</xdr:row>
      <xdr:rowOff>0</xdr:rowOff>
    </xdr:from>
    <xdr:to>
      <xdr:col>17</xdr:col>
      <xdr:colOff>666750</xdr:colOff>
      <xdr:row>15</xdr:row>
      <xdr:rowOff>28575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15</xdr:row>
      <xdr:rowOff>19050</xdr:rowOff>
    </xdr:from>
    <xdr:to>
      <xdr:col>12</xdr:col>
      <xdr:colOff>0</xdr:colOff>
      <xdr:row>30</xdr:row>
      <xdr:rowOff>47625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457200</xdr:colOff>
      <xdr:row>15</xdr:row>
      <xdr:rowOff>28575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15</xdr:row>
      <xdr:rowOff>19050</xdr:rowOff>
    </xdr:from>
    <xdr:to>
      <xdr:col>6</xdr:col>
      <xdr:colOff>457200</xdr:colOff>
      <xdr:row>30</xdr:row>
      <xdr:rowOff>47625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85725</xdr:colOff>
      <xdr:row>0</xdr:row>
      <xdr:rowOff>0</xdr:rowOff>
    </xdr:from>
    <xdr:to>
      <xdr:col>13</xdr:col>
      <xdr:colOff>542925</xdr:colOff>
      <xdr:row>15</xdr:row>
      <xdr:rowOff>28575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85725</xdr:colOff>
      <xdr:row>15</xdr:row>
      <xdr:rowOff>19050</xdr:rowOff>
    </xdr:from>
    <xdr:to>
      <xdr:col>13</xdr:col>
      <xdr:colOff>542925</xdr:colOff>
      <xdr:row>30</xdr:row>
      <xdr:rowOff>47625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443753</xdr:colOff>
      <xdr:row>15</xdr:row>
      <xdr:rowOff>3362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14</xdr:row>
      <xdr:rowOff>174812</xdr:rowOff>
    </xdr:from>
    <xdr:to>
      <xdr:col>6</xdr:col>
      <xdr:colOff>443753</xdr:colOff>
      <xdr:row>29</xdr:row>
      <xdr:rowOff>178174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70037</xdr:colOff>
      <xdr:row>0</xdr:row>
      <xdr:rowOff>0</xdr:rowOff>
    </xdr:from>
    <xdr:to>
      <xdr:col>13</xdr:col>
      <xdr:colOff>513790</xdr:colOff>
      <xdr:row>15</xdr:row>
      <xdr:rowOff>3362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70037</xdr:colOff>
      <xdr:row>14</xdr:row>
      <xdr:rowOff>174812</xdr:rowOff>
    </xdr:from>
    <xdr:to>
      <xdr:col>13</xdr:col>
      <xdr:colOff>513790</xdr:colOff>
      <xdr:row>29</xdr:row>
      <xdr:rowOff>178174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393192</xdr:colOff>
      <xdr:row>15</xdr:row>
      <xdr:rowOff>28575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381000</xdr:colOff>
      <xdr:row>0</xdr:row>
      <xdr:rowOff>0</xdr:rowOff>
    </xdr:from>
    <xdr:to>
      <xdr:col>17</xdr:col>
      <xdr:colOff>88392</xdr:colOff>
      <xdr:row>15</xdr:row>
      <xdr:rowOff>28575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15</xdr:row>
      <xdr:rowOff>19050</xdr:rowOff>
    </xdr:from>
    <xdr:to>
      <xdr:col>8</xdr:col>
      <xdr:colOff>393192</xdr:colOff>
      <xdr:row>30</xdr:row>
      <xdr:rowOff>47625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481852</xdr:colOff>
      <xdr:row>15</xdr:row>
      <xdr:rowOff>112060</xdr:rowOff>
    </xdr:from>
    <xdr:to>
      <xdr:col>12</xdr:col>
      <xdr:colOff>481852</xdr:colOff>
      <xdr:row>30</xdr:row>
      <xdr:rowOff>140635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74518</xdr:colOff>
      <xdr:row>15</xdr:row>
      <xdr:rowOff>112060</xdr:rowOff>
    </xdr:from>
    <xdr:to>
      <xdr:col>16</xdr:col>
      <xdr:colOff>74519</xdr:colOff>
      <xdr:row>30</xdr:row>
      <xdr:rowOff>140635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15</xdr:col>
      <xdr:colOff>341219</xdr:colOff>
      <xdr:row>15</xdr:row>
      <xdr:rowOff>112060</xdr:rowOff>
    </xdr:from>
    <xdr:to>
      <xdr:col>19</xdr:col>
      <xdr:colOff>341218</xdr:colOff>
      <xdr:row>30</xdr:row>
      <xdr:rowOff>140635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481852</xdr:colOff>
      <xdr:row>30</xdr:row>
      <xdr:rowOff>131110</xdr:rowOff>
    </xdr:from>
    <xdr:to>
      <xdr:col>12</xdr:col>
      <xdr:colOff>481852</xdr:colOff>
      <xdr:row>45</xdr:row>
      <xdr:rowOff>159685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74518</xdr:colOff>
      <xdr:row>30</xdr:row>
      <xdr:rowOff>131110</xdr:rowOff>
    </xdr:from>
    <xdr:to>
      <xdr:col>16</xdr:col>
      <xdr:colOff>74519</xdr:colOff>
      <xdr:row>45</xdr:row>
      <xdr:rowOff>159685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15</xdr:col>
      <xdr:colOff>350744</xdr:colOff>
      <xdr:row>30</xdr:row>
      <xdr:rowOff>131110</xdr:rowOff>
    </xdr:from>
    <xdr:to>
      <xdr:col>19</xdr:col>
      <xdr:colOff>350743</xdr:colOff>
      <xdr:row>45</xdr:row>
      <xdr:rowOff>159685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393192</xdr:colOff>
      <xdr:row>15</xdr:row>
      <xdr:rowOff>28575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15</xdr:row>
      <xdr:rowOff>19050</xdr:rowOff>
    </xdr:from>
    <xdr:to>
      <xdr:col>8</xdr:col>
      <xdr:colOff>393192</xdr:colOff>
      <xdr:row>30</xdr:row>
      <xdr:rowOff>47625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381000</xdr:colOff>
      <xdr:row>0</xdr:row>
      <xdr:rowOff>0</xdr:rowOff>
    </xdr:from>
    <xdr:to>
      <xdr:col>17</xdr:col>
      <xdr:colOff>88392</xdr:colOff>
      <xdr:row>15</xdr:row>
      <xdr:rowOff>28575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381000</xdr:colOff>
      <xdr:row>0</xdr:row>
      <xdr:rowOff>0</xdr:rowOff>
    </xdr:from>
    <xdr:to>
      <xdr:col>17</xdr:col>
      <xdr:colOff>88392</xdr:colOff>
      <xdr:row>15</xdr:row>
      <xdr:rowOff>28575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8</xdr:col>
      <xdr:colOff>393192</xdr:colOff>
      <xdr:row>15</xdr:row>
      <xdr:rowOff>28575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393192</xdr:colOff>
      <xdr:row>15</xdr:row>
      <xdr:rowOff>28575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15</xdr:row>
      <xdr:rowOff>19050</xdr:rowOff>
    </xdr:from>
    <xdr:to>
      <xdr:col>8</xdr:col>
      <xdr:colOff>393192</xdr:colOff>
      <xdr:row>30</xdr:row>
      <xdr:rowOff>47625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381000</xdr:colOff>
      <xdr:row>0</xdr:row>
      <xdr:rowOff>0</xdr:rowOff>
    </xdr:from>
    <xdr:to>
      <xdr:col>17</xdr:col>
      <xdr:colOff>88392</xdr:colOff>
      <xdr:row>15</xdr:row>
      <xdr:rowOff>28575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393192</xdr:colOff>
      <xdr:row>15</xdr:row>
      <xdr:rowOff>28575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495300</xdr:colOff>
      <xdr:row>0</xdr:row>
      <xdr:rowOff>0</xdr:rowOff>
    </xdr:from>
    <xdr:to>
      <xdr:col>18</xdr:col>
      <xdr:colOff>202692</xdr:colOff>
      <xdr:row>15</xdr:row>
      <xdr:rowOff>28575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24"/>
  <sheetViews>
    <sheetView workbookViewId="0">
      <selection activeCell="Q7" sqref="Q7"/>
    </sheetView>
  </sheetViews>
  <sheetFormatPr defaultRowHeight="14.25" x14ac:dyDescent="0.2"/>
  <cols>
    <col min="2" max="2" width="23.125" bestFit="1" customWidth="1"/>
    <col min="17" max="17" width="8.625" customWidth="1"/>
  </cols>
  <sheetData>
    <row r="1" spans="1:17" x14ac:dyDescent="0.2">
      <c r="A1" s="145"/>
      <c r="B1" s="146"/>
      <c r="C1" s="147">
        <v>3</v>
      </c>
      <c r="D1" s="148"/>
      <c r="E1" s="149"/>
      <c r="F1" s="150" t="s">
        <v>1</v>
      </c>
      <c r="G1" s="151"/>
      <c r="H1" s="152"/>
      <c r="I1" s="155" t="s">
        <v>2</v>
      </c>
      <c r="J1" s="156"/>
      <c r="K1" s="157"/>
      <c r="L1" s="158" t="s">
        <v>3</v>
      </c>
      <c r="M1" s="159"/>
      <c r="N1" s="160"/>
      <c r="O1" s="161" t="s">
        <v>4</v>
      </c>
      <c r="P1" s="162"/>
      <c r="Q1" s="163"/>
    </row>
    <row r="2" spans="1:17" x14ac:dyDescent="0.2">
      <c r="A2" s="145"/>
      <c r="B2" s="146"/>
      <c r="C2" s="92" t="s">
        <v>167</v>
      </c>
      <c r="D2" s="92" t="s">
        <v>168</v>
      </c>
      <c r="E2" s="92" t="s">
        <v>169</v>
      </c>
      <c r="F2" s="44" t="s">
        <v>167</v>
      </c>
      <c r="G2" s="44" t="s">
        <v>168</v>
      </c>
      <c r="H2" s="44" t="s">
        <v>169</v>
      </c>
      <c r="I2" s="45" t="s">
        <v>167</v>
      </c>
      <c r="J2" s="45" t="s">
        <v>168</v>
      </c>
      <c r="K2" s="45" t="s">
        <v>169</v>
      </c>
      <c r="L2" s="46" t="s">
        <v>167</v>
      </c>
      <c r="M2" s="46" t="s">
        <v>168</v>
      </c>
      <c r="N2" s="46" t="s">
        <v>169</v>
      </c>
      <c r="O2" s="47" t="s">
        <v>167</v>
      </c>
      <c r="P2" s="84" t="s">
        <v>168</v>
      </c>
      <c r="Q2" s="84" t="s">
        <v>169</v>
      </c>
    </row>
    <row r="3" spans="1:17" ht="15.75" x14ac:dyDescent="0.3">
      <c r="A3" s="139" t="s">
        <v>23</v>
      </c>
      <c r="B3" s="85" t="s">
        <v>170</v>
      </c>
      <c r="C3" s="87">
        <f>Input!AH5</f>
        <v>1</v>
      </c>
      <c r="D3" s="87">
        <f>Input!T5</f>
        <v>56</v>
      </c>
      <c r="E3" s="87">
        <f>Input!C66</f>
        <v>353</v>
      </c>
      <c r="F3" s="87">
        <v>2</v>
      </c>
      <c r="G3" s="87">
        <f>Input!U5</f>
        <v>0</v>
      </c>
      <c r="H3" s="87">
        <f>Input!D66</f>
        <v>30</v>
      </c>
      <c r="I3" s="86" t="s">
        <v>126</v>
      </c>
      <c r="J3" s="86" t="s">
        <v>126</v>
      </c>
      <c r="K3" s="87">
        <f>Input!E66</f>
        <v>1470</v>
      </c>
      <c r="L3" s="87">
        <f>Input!AJ5</f>
        <v>0</v>
      </c>
      <c r="M3" s="87">
        <f>Input!V5</f>
        <v>2</v>
      </c>
      <c r="N3" s="87">
        <f>Input!F66</f>
        <v>107</v>
      </c>
      <c r="O3" s="87">
        <f>Input!AK5</f>
        <v>0</v>
      </c>
      <c r="P3" s="87">
        <f>Input!W5</f>
        <v>0</v>
      </c>
      <c r="Q3" s="87">
        <f>Input!G66</f>
        <v>26</v>
      </c>
    </row>
    <row r="4" spans="1:17" ht="15.75" x14ac:dyDescent="0.3">
      <c r="A4" s="140"/>
      <c r="B4" s="85" t="s">
        <v>171</v>
      </c>
      <c r="C4" s="87">
        <f>Input!AH6</f>
        <v>365</v>
      </c>
      <c r="D4" s="87">
        <f>Input!T6</f>
        <v>3845</v>
      </c>
      <c r="E4" s="87">
        <f>Input!C67</f>
        <v>7150</v>
      </c>
      <c r="F4" s="87">
        <v>383</v>
      </c>
      <c r="G4" s="87">
        <f>Input!U6</f>
        <v>0</v>
      </c>
      <c r="H4" s="87">
        <f>Input!D67</f>
        <v>11287</v>
      </c>
      <c r="I4" s="86" t="s">
        <v>126</v>
      </c>
      <c r="J4" s="86" t="s">
        <v>126</v>
      </c>
      <c r="K4" s="87">
        <f>Input!E67</f>
        <v>11968</v>
      </c>
      <c r="L4" s="87">
        <f>Input!AJ6</f>
        <v>28</v>
      </c>
      <c r="M4" s="87">
        <f>Input!V6</f>
        <v>4541</v>
      </c>
      <c r="N4" s="87">
        <f>Input!F67</f>
        <v>7381</v>
      </c>
      <c r="O4" s="87">
        <f>Input!AK6</f>
        <v>0</v>
      </c>
      <c r="P4" s="87">
        <f>Input!W6</f>
        <v>0</v>
      </c>
      <c r="Q4" s="87">
        <f>Input!G67</f>
        <v>10912</v>
      </c>
    </row>
    <row r="5" spans="1:17" ht="15.75" x14ac:dyDescent="0.3">
      <c r="A5" s="141"/>
      <c r="B5" s="85" t="s">
        <v>172</v>
      </c>
      <c r="C5" s="87">
        <f t="shared" ref="C5:O5" si="0">IFERROR(C3/C4*100,"-")</f>
        <v>0.27397260273972601</v>
      </c>
      <c r="D5" s="87">
        <f t="shared" si="0"/>
        <v>1.4564369310793237</v>
      </c>
      <c r="E5" s="87">
        <f t="shared" si="0"/>
        <v>4.9370629370629375</v>
      </c>
      <c r="F5" s="87">
        <f>IFERROR(F3/F4*100,"-")</f>
        <v>0.52219321148825071</v>
      </c>
      <c r="G5" s="87" t="str">
        <f t="shared" si="0"/>
        <v>-</v>
      </c>
      <c r="H5" s="87">
        <f t="shared" si="0"/>
        <v>0.26579250465136883</v>
      </c>
      <c r="I5" s="87" t="str">
        <f t="shared" si="0"/>
        <v>-</v>
      </c>
      <c r="J5" s="87" t="str">
        <f t="shared" si="0"/>
        <v>-</v>
      </c>
      <c r="K5" s="87">
        <f t="shared" si="0"/>
        <v>12.282754010695188</v>
      </c>
      <c r="L5" s="87">
        <f t="shared" si="0"/>
        <v>0</v>
      </c>
      <c r="M5" s="87">
        <f>IFERROR(M3/M4*100,"-")</f>
        <v>4.4043162299053071E-2</v>
      </c>
      <c r="N5" s="87">
        <f>IFERROR(N3/N4*100,"-")</f>
        <v>1.4496680666576345</v>
      </c>
      <c r="O5" s="87" t="str">
        <f t="shared" si="0"/>
        <v>-</v>
      </c>
      <c r="P5" s="87" t="str">
        <f>IFERROR(P3/P4*100,"-")</f>
        <v>-</v>
      </c>
      <c r="Q5" s="87">
        <f>IFERROR(Q3/Q4*100,"-")</f>
        <v>0.23826979472140764</v>
      </c>
    </row>
    <row r="6" spans="1:17" ht="15.75" x14ac:dyDescent="0.3">
      <c r="A6" s="142" t="s">
        <v>24</v>
      </c>
      <c r="B6" s="88" t="s">
        <v>173</v>
      </c>
      <c r="C6" s="90">
        <f>Input!AO5</f>
        <v>5</v>
      </c>
      <c r="D6" s="90">
        <f>Input!AA5</f>
        <v>87</v>
      </c>
      <c r="E6" s="90">
        <f>Input!L5</f>
        <v>89</v>
      </c>
      <c r="F6" s="90">
        <f>Input!AP5</f>
        <v>0</v>
      </c>
      <c r="G6" s="90">
        <f>Input!AB5</f>
        <v>0</v>
      </c>
      <c r="H6" s="90">
        <f>Input!M5</f>
        <v>2270</v>
      </c>
      <c r="I6" s="89" t="s">
        <v>126</v>
      </c>
      <c r="J6" s="89" t="s">
        <v>126</v>
      </c>
      <c r="K6" s="90">
        <f>Input!N5</f>
        <v>481</v>
      </c>
      <c r="L6" s="90">
        <f>Input!AQ5</f>
        <v>3</v>
      </c>
      <c r="M6" s="90">
        <f>Input!AC5</f>
        <v>168</v>
      </c>
      <c r="N6" s="90">
        <f>Input!O5</f>
        <v>169</v>
      </c>
      <c r="O6" s="90">
        <f>Input!AR5</f>
        <v>0</v>
      </c>
      <c r="P6" s="90">
        <f>Input!AD5</f>
        <v>0</v>
      </c>
      <c r="Q6" s="90">
        <f>Input!P5</f>
        <v>1742</v>
      </c>
    </row>
    <row r="7" spans="1:17" ht="15.75" x14ac:dyDescent="0.3">
      <c r="A7" s="143"/>
      <c r="B7" s="88" t="s">
        <v>174</v>
      </c>
      <c r="C7" s="90">
        <f>Input!AO6</f>
        <v>354</v>
      </c>
      <c r="D7" s="90">
        <f>Input!AA6</f>
        <v>3845</v>
      </c>
      <c r="E7" s="90">
        <f>Input!L6</f>
        <v>7150</v>
      </c>
      <c r="F7" s="90">
        <f>Input!AP6</f>
        <v>0</v>
      </c>
      <c r="G7" s="90">
        <f>Input!AB6</f>
        <v>0</v>
      </c>
      <c r="H7" s="90">
        <f>Input!M6</f>
        <v>11287</v>
      </c>
      <c r="I7" s="89" t="s">
        <v>126</v>
      </c>
      <c r="J7" s="89" t="s">
        <v>126</v>
      </c>
      <c r="K7" s="90">
        <f>Input!N6</f>
        <v>11968</v>
      </c>
      <c r="L7" s="90">
        <f>Input!AQ6</f>
        <v>26</v>
      </c>
      <c r="M7" s="90">
        <f>Input!AC6</f>
        <v>4541</v>
      </c>
      <c r="N7" s="90">
        <f>Input!O6</f>
        <v>7381</v>
      </c>
      <c r="O7" s="90">
        <f>Input!AR6</f>
        <v>0</v>
      </c>
      <c r="P7" s="90">
        <f>Input!AD6</f>
        <v>0</v>
      </c>
      <c r="Q7" s="90">
        <f>Input!P6</f>
        <v>10912</v>
      </c>
    </row>
    <row r="8" spans="1:17" ht="15.75" x14ac:dyDescent="0.3">
      <c r="A8" s="144"/>
      <c r="B8" s="88" t="s">
        <v>175</v>
      </c>
      <c r="C8" s="90">
        <f>IFERROR(C6/C7*100,"-")</f>
        <v>1.4124293785310735</v>
      </c>
      <c r="D8" s="90">
        <f t="shared" ref="D8:Q8" si="1">IFERROR(D6/D7*100,"-")</f>
        <v>2.2626788036410925</v>
      </c>
      <c r="E8" s="90">
        <f t="shared" si="1"/>
        <v>1.2447552447552448</v>
      </c>
      <c r="F8" s="90" t="str">
        <f t="shared" si="1"/>
        <v>-</v>
      </c>
      <c r="G8" s="90" t="str">
        <f t="shared" si="1"/>
        <v>-</v>
      </c>
      <c r="H8" s="90">
        <f t="shared" si="1"/>
        <v>20.111632851953576</v>
      </c>
      <c r="I8" s="90" t="str">
        <f t="shared" si="1"/>
        <v>-</v>
      </c>
      <c r="J8" s="90" t="str">
        <f t="shared" si="1"/>
        <v>-</v>
      </c>
      <c r="K8" s="90">
        <f t="shared" si="1"/>
        <v>4.0190508021390379</v>
      </c>
      <c r="L8" s="90">
        <f t="shared" si="1"/>
        <v>11.538461538461538</v>
      </c>
      <c r="M8" s="90">
        <f t="shared" si="1"/>
        <v>3.6996256331204584</v>
      </c>
      <c r="N8" s="90">
        <f t="shared" si="1"/>
        <v>2.2896626473377593</v>
      </c>
      <c r="O8" s="90" t="str">
        <f t="shared" si="1"/>
        <v>-</v>
      </c>
      <c r="P8" s="90" t="str">
        <f t="shared" si="1"/>
        <v>-</v>
      </c>
      <c r="Q8" s="90">
        <f t="shared" si="1"/>
        <v>15.96407624633431</v>
      </c>
    </row>
    <row r="24" spans="7:17" ht="20.25" customHeight="1" x14ac:dyDescent="0.2">
      <c r="G24" s="153" t="s">
        <v>177</v>
      </c>
      <c r="H24" s="153"/>
      <c r="I24" s="153"/>
      <c r="J24" s="153"/>
      <c r="K24" s="154" t="s">
        <v>178</v>
      </c>
      <c r="L24" s="154"/>
      <c r="M24" s="154"/>
      <c r="N24" s="154"/>
      <c r="O24" s="154"/>
      <c r="P24" s="154"/>
      <c r="Q24" s="154"/>
    </row>
  </sheetData>
  <mergeCells count="10">
    <mergeCell ref="G24:J24"/>
    <mergeCell ref="K24:Q24"/>
    <mergeCell ref="I1:K1"/>
    <mergeCell ref="L1:N1"/>
    <mergeCell ref="O1:Q1"/>
    <mergeCell ref="A3:A5"/>
    <mergeCell ref="A6:A8"/>
    <mergeCell ref="A1:B2"/>
    <mergeCell ref="C1:E1"/>
    <mergeCell ref="F1:H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ExportTableToPowerPoint_SummaryRadio">
                <anchor moveWithCells="1" sizeWithCells="1">
                  <from>
                    <xdr:col>0</xdr:col>
                    <xdr:colOff>676275</xdr:colOff>
                    <xdr:row>19</xdr:row>
                    <xdr:rowOff>0</xdr:rowOff>
                  </from>
                  <to>
                    <xdr:col>5</xdr:col>
                    <xdr:colOff>0</xdr:colOff>
                    <xdr:row>28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T36"/>
  <sheetViews>
    <sheetView workbookViewId="0">
      <selection activeCell="H6" sqref="H6"/>
    </sheetView>
  </sheetViews>
  <sheetFormatPr defaultRowHeight="14.25" x14ac:dyDescent="0.2"/>
  <cols>
    <col min="1" max="1" width="8.75" bestFit="1" customWidth="1"/>
    <col min="2" max="2" width="25.375" bestFit="1" customWidth="1"/>
    <col min="8" max="8" width="9" style="245"/>
    <col min="11" max="11" width="26.875" bestFit="1" customWidth="1"/>
  </cols>
  <sheetData>
    <row r="1" spans="1:20" ht="27" x14ac:dyDescent="0.3">
      <c r="A1" s="166"/>
      <c r="B1" s="167"/>
      <c r="C1" s="43">
        <v>3</v>
      </c>
      <c r="D1" s="44" t="s">
        <v>1</v>
      </c>
      <c r="E1" s="45" t="s">
        <v>2</v>
      </c>
      <c r="F1" s="46" t="s">
        <v>3</v>
      </c>
      <c r="G1" s="228" t="s">
        <v>4</v>
      </c>
      <c r="H1" s="246"/>
      <c r="L1" s="43">
        <v>3</v>
      </c>
      <c r="M1" s="44" t="s">
        <v>1</v>
      </c>
      <c r="N1" s="45" t="s">
        <v>2</v>
      </c>
      <c r="O1" s="46" t="s">
        <v>3</v>
      </c>
      <c r="P1" s="47" t="s">
        <v>4</v>
      </c>
    </row>
    <row r="2" spans="1:20" ht="15.75" x14ac:dyDescent="0.3">
      <c r="A2" s="168" t="s">
        <v>127</v>
      </c>
      <c r="B2" s="53" t="s">
        <v>128</v>
      </c>
      <c r="C2" s="54">
        <f>Input!C6</f>
        <v>17.613925999999999</v>
      </c>
      <c r="D2" s="54">
        <f>Input!D6</f>
        <v>33.153730000000003</v>
      </c>
      <c r="E2" s="54">
        <f>Input!E6</f>
        <v>11.894360000000001</v>
      </c>
      <c r="F2" s="54">
        <f>Input!F6</f>
        <v>61.133779200000006</v>
      </c>
      <c r="G2" s="229">
        <f>Input!G6</f>
        <v>52.314908799999998</v>
      </c>
      <c r="H2" s="247"/>
      <c r="J2" s="170" t="s">
        <v>27</v>
      </c>
      <c r="K2" s="48" t="s">
        <v>155</v>
      </c>
      <c r="L2" s="49">
        <f>Input!C50</f>
        <v>5</v>
      </c>
      <c r="M2" s="49">
        <f>Input!D50</f>
        <v>0</v>
      </c>
      <c r="N2" s="49">
        <f>Input!E50</f>
        <v>4</v>
      </c>
      <c r="O2" s="49">
        <f>Input!F50</f>
        <v>3</v>
      </c>
      <c r="P2" s="49">
        <f>Input!G50</f>
        <v>5</v>
      </c>
    </row>
    <row r="3" spans="1:20" ht="15.75" x14ac:dyDescent="0.3">
      <c r="A3" s="168"/>
      <c r="B3" s="53" t="s">
        <v>129</v>
      </c>
      <c r="C3" s="54">
        <f>Input!C7</f>
        <v>13.226184</v>
      </c>
      <c r="D3" s="54">
        <f>Input!D7</f>
        <v>12.1066</v>
      </c>
      <c r="E3" s="54">
        <f>Input!E7</f>
        <v>9.7048880000000004</v>
      </c>
      <c r="F3" s="54">
        <f>Input!F7</f>
        <v>31.817784</v>
      </c>
      <c r="G3" s="229">
        <f>Input!G7</f>
        <v>27.293624000000001</v>
      </c>
      <c r="H3" s="247"/>
      <c r="J3" s="171"/>
      <c r="K3" s="48" t="s">
        <v>156</v>
      </c>
      <c r="L3" s="49">
        <f>Input!C51</f>
        <v>5</v>
      </c>
      <c r="M3" s="49">
        <f>Input!D51</f>
        <v>0</v>
      </c>
      <c r="N3" s="49">
        <f>Input!E51</f>
        <v>4</v>
      </c>
      <c r="O3" s="49">
        <f>Input!F51</f>
        <v>3</v>
      </c>
      <c r="P3" s="49">
        <f>Input!G51</f>
        <v>5</v>
      </c>
    </row>
    <row r="4" spans="1:20" ht="15.75" x14ac:dyDescent="0.3">
      <c r="A4" s="168"/>
      <c r="B4" s="53" t="s">
        <v>130</v>
      </c>
      <c r="C4" s="54">
        <f>Input!C8</f>
        <v>25.966991999999998</v>
      </c>
      <c r="D4" s="54">
        <f>Input!D8</f>
        <v>55.463839999999998</v>
      </c>
      <c r="E4" s="54">
        <f>Input!E8</f>
        <v>15.122272000000001</v>
      </c>
      <c r="F4" s="54">
        <f>Input!F8</f>
        <v>100.35608000000001</v>
      </c>
      <c r="G4" s="229">
        <f>Input!G8</f>
        <v>75.783135999999999</v>
      </c>
      <c r="H4" s="247"/>
      <c r="J4" s="171"/>
      <c r="K4" s="48" t="s">
        <v>157</v>
      </c>
      <c r="L4" s="49">
        <f>IFERROR(Input!C52,0)</f>
        <v>100</v>
      </c>
      <c r="M4" s="49">
        <f>IFERROR(Input!D52,0)</f>
        <v>0</v>
      </c>
      <c r="N4" s="49">
        <f>IFERROR(Input!E52,0)</f>
        <v>100</v>
      </c>
      <c r="O4" s="49">
        <f>IFERROR(Input!F52,0)</f>
        <v>100</v>
      </c>
      <c r="P4" s="49">
        <f>IFERROR(Input!G52,0)</f>
        <v>100</v>
      </c>
    </row>
    <row r="5" spans="1:20" ht="15.75" x14ac:dyDescent="0.3">
      <c r="A5" s="169"/>
      <c r="B5" s="55" t="s">
        <v>131</v>
      </c>
      <c r="C5" s="56">
        <f t="shared" ref="C5:H5" si="0">IFERROR(RANK(C2,$C$2:$H$2,0),"-")</f>
        <v>4</v>
      </c>
      <c r="D5" s="56">
        <f t="shared" si="0"/>
        <v>3</v>
      </c>
      <c r="E5" s="56">
        <f t="shared" si="0"/>
        <v>5</v>
      </c>
      <c r="F5" s="56">
        <f t="shared" si="0"/>
        <v>1</v>
      </c>
      <c r="G5" s="230">
        <f t="shared" si="0"/>
        <v>2</v>
      </c>
      <c r="H5" s="248"/>
      <c r="J5" s="172" t="s">
        <v>5</v>
      </c>
      <c r="K5" s="50" t="s">
        <v>29</v>
      </c>
      <c r="L5" s="52">
        <f>Input!C59</f>
        <v>4.0395098036410761</v>
      </c>
      <c r="M5" s="52">
        <f>Input!D59</f>
        <v>4.2961290709434019</v>
      </c>
      <c r="N5" s="52">
        <f>Input!E59</f>
        <v>4.0095967717709078</v>
      </c>
      <c r="O5" s="52">
        <f>Input!F59</f>
        <v>4.0648360555289225</v>
      </c>
      <c r="P5" s="52">
        <f>Input!G59</f>
        <v>4.2041803373665108</v>
      </c>
    </row>
    <row r="6" spans="1:20" ht="15.75" x14ac:dyDescent="0.3">
      <c r="A6" s="175" t="s">
        <v>132</v>
      </c>
      <c r="B6" s="57" t="s">
        <v>22</v>
      </c>
      <c r="C6" s="58">
        <f>Input!C10</f>
        <v>18.252908799999997</v>
      </c>
      <c r="D6" s="58">
        <f>Input!D10</f>
        <v>24.240184000000003</v>
      </c>
      <c r="E6" s="58">
        <f>Input!E10</f>
        <v>4.2807386666666671</v>
      </c>
      <c r="F6" s="58">
        <f>Input!F10</f>
        <v>27.960675199999997</v>
      </c>
      <c r="G6" s="231">
        <f>Input!G10</f>
        <v>19.197822399999996</v>
      </c>
      <c r="H6" s="249"/>
      <c r="J6" s="173"/>
      <c r="K6" s="50" t="s">
        <v>158</v>
      </c>
      <c r="L6" s="51">
        <f>Input!C54</f>
        <v>33</v>
      </c>
      <c r="M6" s="51">
        <f>Input!D54</f>
        <v>31</v>
      </c>
      <c r="N6" s="51">
        <f>Input!E54</f>
        <v>32</v>
      </c>
      <c r="O6" s="51">
        <f>Input!F54</f>
        <v>31</v>
      </c>
      <c r="P6" s="51">
        <f>Input!G54</f>
        <v>32</v>
      </c>
    </row>
    <row r="7" spans="1:20" ht="15.75" x14ac:dyDescent="0.3">
      <c r="A7" s="175"/>
      <c r="B7" s="57" t="s">
        <v>133</v>
      </c>
      <c r="C7" s="58">
        <f>Input!C11</f>
        <v>2.9877199999999999</v>
      </c>
      <c r="D7" s="58">
        <f>Input!D11</f>
        <v>15.095136</v>
      </c>
      <c r="E7" s="58">
        <f>Input!E11</f>
        <v>2.3067919999999997</v>
      </c>
      <c r="F7" s="58">
        <f>Input!F11</f>
        <v>7.7796560000000001</v>
      </c>
      <c r="G7" s="231">
        <f>Input!G11</f>
        <v>18.159744</v>
      </c>
      <c r="H7" s="249"/>
      <c r="J7" s="173"/>
      <c r="K7" s="50" t="s">
        <v>159</v>
      </c>
      <c r="L7" s="51">
        <f>Input!C55</f>
        <v>5</v>
      </c>
      <c r="M7" s="51">
        <f>Input!D55</f>
        <v>0</v>
      </c>
      <c r="N7" s="51">
        <f>Input!E55</f>
        <v>1</v>
      </c>
      <c r="O7" s="51">
        <f>Input!F55</f>
        <v>0</v>
      </c>
      <c r="P7" s="51">
        <f>Input!G55</f>
        <v>1</v>
      </c>
    </row>
    <row r="8" spans="1:20" ht="15.75" x14ac:dyDescent="0.3">
      <c r="A8" s="175"/>
      <c r="B8" s="57" t="s">
        <v>134</v>
      </c>
      <c r="C8" s="58">
        <f>Input!C12</f>
        <v>26.024528</v>
      </c>
      <c r="D8" s="58">
        <f>Input!D12</f>
        <v>43.074512000000006</v>
      </c>
      <c r="E8" s="58">
        <f>Input!E12</f>
        <v>6.0274239999999999</v>
      </c>
      <c r="F8" s="58">
        <f>Input!F12</f>
        <v>44.852176</v>
      </c>
      <c r="G8" s="231">
        <f>Input!G12</f>
        <v>20.06344</v>
      </c>
      <c r="H8" s="249"/>
      <c r="J8" s="173"/>
      <c r="K8" s="50" t="s">
        <v>6</v>
      </c>
      <c r="L8" s="51">
        <f>Input!C56</f>
        <v>0</v>
      </c>
      <c r="M8" s="51">
        <f>Input!D56</f>
        <v>0</v>
      </c>
      <c r="N8" s="51">
        <f>Input!E56</f>
        <v>0</v>
      </c>
      <c r="O8" s="51">
        <f>Input!F56</f>
        <v>1</v>
      </c>
      <c r="P8" s="51">
        <f>Input!G56</f>
        <v>0</v>
      </c>
    </row>
    <row r="9" spans="1:20" ht="15.75" x14ac:dyDescent="0.3">
      <c r="A9" s="176"/>
      <c r="B9" s="59" t="s">
        <v>135</v>
      </c>
      <c r="C9" s="60">
        <f t="shared" ref="C9:H9" si="1">IFERROR(RANK(C6,$C$6:$H$6,0),"-")</f>
        <v>4</v>
      </c>
      <c r="D9" s="60">
        <f t="shared" si="1"/>
        <v>2</v>
      </c>
      <c r="E9" s="60">
        <f t="shared" si="1"/>
        <v>5</v>
      </c>
      <c r="F9" s="60">
        <f t="shared" si="1"/>
        <v>1</v>
      </c>
      <c r="G9" s="232">
        <f t="shared" si="1"/>
        <v>3</v>
      </c>
      <c r="H9" s="250"/>
      <c r="J9" s="173"/>
      <c r="K9" s="50" t="s">
        <v>7</v>
      </c>
      <c r="L9" s="52">
        <f>(L6-L7-L8)/L6*100</f>
        <v>84.848484848484844</v>
      </c>
      <c r="M9" s="52">
        <f>(M6-M7-M8)/M6*100</f>
        <v>100</v>
      </c>
      <c r="N9" s="52">
        <f>(N6-N7-N8)/N6*100</f>
        <v>96.875</v>
      </c>
      <c r="O9" s="52">
        <f>(O6-O7-O8)/O6*100</f>
        <v>96.774193548387103</v>
      </c>
      <c r="P9" s="52">
        <f>(P6-P7-P8)/P6*100</f>
        <v>96.875</v>
      </c>
    </row>
    <row r="10" spans="1:20" ht="15.75" x14ac:dyDescent="0.3">
      <c r="A10" s="177" t="s">
        <v>20</v>
      </c>
      <c r="B10" s="61" t="s">
        <v>136</v>
      </c>
      <c r="C10" s="62">
        <f>Input!C14</f>
        <v>5.7198000000000002</v>
      </c>
      <c r="D10" s="62">
        <f>Input!D14</f>
        <v>6.7283462857142862</v>
      </c>
      <c r="E10" s="62">
        <f>Input!E14</f>
        <v>3.6807908571428571</v>
      </c>
      <c r="F10" s="62">
        <f>Input!F14</f>
        <v>2.0638912</v>
      </c>
      <c r="G10" s="233">
        <f>Input!G14</f>
        <v>3.8637051428571429</v>
      </c>
      <c r="H10" s="249"/>
      <c r="J10" s="174"/>
      <c r="K10" s="50" t="s">
        <v>8</v>
      </c>
      <c r="L10" s="52">
        <f>L8/L6*100</f>
        <v>0</v>
      </c>
      <c r="M10" s="52">
        <f>M8/M6*100</f>
        <v>0</v>
      </c>
      <c r="N10" s="52">
        <f>N8/N6*100</f>
        <v>0</v>
      </c>
      <c r="O10" s="52">
        <f>O8/O6*100</f>
        <v>3.225806451612903</v>
      </c>
      <c r="P10" s="52">
        <f>P8/P6*100</f>
        <v>0</v>
      </c>
    </row>
    <row r="11" spans="1:20" ht="15.75" x14ac:dyDescent="0.3">
      <c r="A11" s="177"/>
      <c r="B11" s="61" t="s">
        <v>137</v>
      </c>
      <c r="C11" s="62">
        <f>Input!C15</f>
        <v>3.912264</v>
      </c>
      <c r="D11" s="62">
        <f>Input!D15</f>
        <v>6.2928800000000003</v>
      </c>
      <c r="E11" s="62">
        <f>Input!E15</f>
        <v>0.834032</v>
      </c>
      <c r="F11" s="62">
        <f>Input!F15</f>
        <v>1.1461600000000001</v>
      </c>
      <c r="G11" s="233">
        <f>Input!G15</f>
        <v>1.6952639999999999</v>
      </c>
      <c r="H11" s="249"/>
    </row>
    <row r="12" spans="1:20" ht="15.75" x14ac:dyDescent="0.3">
      <c r="A12" s="177"/>
      <c r="B12" s="61" t="s">
        <v>138</v>
      </c>
      <c r="C12" s="62">
        <f>Input!C16</f>
        <v>7.4812640000000004</v>
      </c>
      <c r="D12" s="62">
        <f>Input!D16</f>
        <v>7.3023920000000002</v>
      </c>
      <c r="E12" s="62">
        <f>Input!E16</f>
        <v>7.4641279999999997</v>
      </c>
      <c r="F12" s="62">
        <f>Input!F16</f>
        <v>3.4524720000000002</v>
      </c>
      <c r="G12" s="233">
        <f>Input!G16</f>
        <v>5.3690720000000001</v>
      </c>
      <c r="H12" s="249"/>
    </row>
    <row r="13" spans="1:20" ht="15.75" x14ac:dyDescent="0.3">
      <c r="A13" s="178"/>
      <c r="B13" s="63" t="s">
        <v>139</v>
      </c>
      <c r="C13" s="64">
        <f t="shared" ref="C13:H13" si="2">IFERROR(RANK(C10,$C$10:$H$10,0),"-")</f>
        <v>2</v>
      </c>
      <c r="D13" s="64">
        <f t="shared" si="2"/>
        <v>1</v>
      </c>
      <c r="E13" s="64">
        <f t="shared" si="2"/>
        <v>4</v>
      </c>
      <c r="F13" s="64">
        <f t="shared" si="2"/>
        <v>5</v>
      </c>
      <c r="G13" s="234">
        <f t="shared" si="2"/>
        <v>3</v>
      </c>
      <c r="H13" s="251"/>
      <c r="J13" s="99"/>
      <c r="K13" s="99"/>
      <c r="L13" s="99"/>
      <c r="M13" s="99"/>
      <c r="N13" s="100"/>
      <c r="O13" s="100"/>
      <c r="P13" s="100"/>
      <c r="Q13" s="100"/>
      <c r="R13" s="100"/>
      <c r="S13" s="100"/>
      <c r="T13" s="100"/>
    </row>
    <row r="14" spans="1:20" ht="15.75" x14ac:dyDescent="0.3">
      <c r="A14" s="179" t="s">
        <v>142</v>
      </c>
      <c r="B14" s="65" t="s">
        <v>143</v>
      </c>
      <c r="C14" s="66">
        <f>Input!C18</f>
        <v>25.740383999999999</v>
      </c>
      <c r="D14" s="66">
        <f>Input!D18</f>
        <v>60.577407999999998</v>
      </c>
      <c r="E14" s="66">
        <f>Input!E18</f>
        <v>11.0171648</v>
      </c>
      <c r="F14" s="66">
        <f>Input!F18</f>
        <v>77.680979199999996</v>
      </c>
      <c r="G14" s="235">
        <f>Input!G18</f>
        <v>63.490006399999999</v>
      </c>
      <c r="H14" s="247"/>
    </row>
    <row r="15" spans="1:20" ht="15.75" x14ac:dyDescent="0.3">
      <c r="A15" s="179"/>
      <c r="B15" s="65" t="s">
        <v>137</v>
      </c>
      <c r="C15" s="66">
        <f>Input!C19</f>
        <v>10.428616</v>
      </c>
      <c r="D15" s="66">
        <f>Input!D19</f>
        <v>8.9161359999999998</v>
      </c>
      <c r="E15" s="66">
        <f>Input!E19</f>
        <v>0.57134400000000007</v>
      </c>
      <c r="F15" s="66">
        <f>Input!F19</f>
        <v>43.081504000000002</v>
      </c>
      <c r="G15" s="235">
        <f>Input!G19</f>
        <v>28.896144</v>
      </c>
      <c r="H15" s="247"/>
    </row>
    <row r="16" spans="1:20" ht="15.75" x14ac:dyDescent="0.3">
      <c r="A16" s="179"/>
      <c r="B16" s="65" t="s">
        <v>138</v>
      </c>
      <c r="C16" s="66">
        <f>Input!C20</f>
        <v>40.992136000000002</v>
      </c>
      <c r="D16" s="66">
        <f>Input!D20</f>
        <v>113.793944</v>
      </c>
      <c r="E16" s="66">
        <f>Input!E20</f>
        <v>18.185856000000001</v>
      </c>
      <c r="F16" s="66">
        <f>Input!F20</f>
        <v>109.69226399999999</v>
      </c>
      <c r="G16" s="235">
        <f>Input!G20</f>
        <v>86.000615999999994</v>
      </c>
      <c r="H16" s="247"/>
    </row>
    <row r="17" spans="1:8" ht="15.75" x14ac:dyDescent="0.3">
      <c r="A17" s="180"/>
      <c r="B17" s="67" t="s">
        <v>144</v>
      </c>
      <c r="C17" s="68">
        <f t="shared" ref="C17:H17" si="3">IFERROR(RANK(C14,$C$14:$H$14,0),"-")</f>
        <v>4</v>
      </c>
      <c r="D17" s="68">
        <f t="shared" si="3"/>
        <v>3</v>
      </c>
      <c r="E17" s="68">
        <f t="shared" si="3"/>
        <v>5</v>
      </c>
      <c r="F17" s="68">
        <f t="shared" si="3"/>
        <v>1</v>
      </c>
      <c r="G17" s="236">
        <f t="shared" si="3"/>
        <v>2</v>
      </c>
      <c r="H17" s="252"/>
    </row>
    <row r="18" spans="1:8" ht="15.75" x14ac:dyDescent="0.3">
      <c r="A18" s="181" t="s">
        <v>145</v>
      </c>
      <c r="B18" s="69" t="s">
        <v>143</v>
      </c>
      <c r="C18" s="97">
        <f>Input!C22</f>
        <v>10.532620000000001</v>
      </c>
      <c r="D18" s="97">
        <f>Input!D22</f>
        <v>37.031185600000008</v>
      </c>
      <c r="E18" s="97">
        <f>Input!E22</f>
        <v>3.8588815999999997</v>
      </c>
      <c r="F18" s="97">
        <f>Input!F22</f>
        <v>31.293238000000002</v>
      </c>
      <c r="G18" s="237">
        <f>Input!G22</f>
        <v>20.155585599999998</v>
      </c>
      <c r="H18" s="253"/>
    </row>
    <row r="19" spans="1:8" ht="15.75" x14ac:dyDescent="0.3">
      <c r="A19" s="181"/>
      <c r="B19" s="69" t="s">
        <v>137</v>
      </c>
      <c r="C19" s="97">
        <f>Input!C23</f>
        <v>1.2998080000000001</v>
      </c>
      <c r="D19" s="97">
        <f>Input!D23</f>
        <v>31.756871999999998</v>
      </c>
      <c r="E19" s="97">
        <f>Input!E23</f>
        <v>1.0274639999999999</v>
      </c>
      <c r="F19" s="97">
        <f>Input!F23</f>
        <v>20.050472000000003</v>
      </c>
      <c r="G19" s="237">
        <f>Input!G23</f>
        <v>19.809087999999999</v>
      </c>
      <c r="H19" s="253"/>
    </row>
    <row r="20" spans="1:8" ht="15.75" x14ac:dyDescent="0.3">
      <c r="A20" s="181"/>
      <c r="B20" s="69" t="s">
        <v>138</v>
      </c>
      <c r="C20" s="97">
        <f>Input!C24</f>
        <v>23.531680000000001</v>
      </c>
      <c r="D20" s="97">
        <f>Input!D24</f>
        <v>40.630199999999995</v>
      </c>
      <c r="E20" s="97">
        <f>Input!E24</f>
        <v>6.5974240000000002</v>
      </c>
      <c r="F20" s="97">
        <f>Input!F24</f>
        <v>38.810447999999994</v>
      </c>
      <c r="G20" s="237">
        <f>Input!G24</f>
        <v>20.863727999999998</v>
      </c>
      <c r="H20" s="253"/>
    </row>
    <row r="21" spans="1:8" ht="15.75" x14ac:dyDescent="0.3">
      <c r="A21" s="182"/>
      <c r="B21" s="70" t="s">
        <v>146</v>
      </c>
      <c r="C21" s="71">
        <f t="shared" ref="C21:H21" si="4">IFERROR(RANK(C18,$C$18:$H$18,0),"-")</f>
        <v>4</v>
      </c>
      <c r="D21" s="71">
        <f t="shared" si="4"/>
        <v>1</v>
      </c>
      <c r="E21" s="71">
        <f t="shared" si="4"/>
        <v>5</v>
      </c>
      <c r="F21" s="71">
        <f t="shared" si="4"/>
        <v>2</v>
      </c>
      <c r="G21" s="238">
        <f t="shared" si="4"/>
        <v>3</v>
      </c>
      <c r="H21" s="252"/>
    </row>
    <row r="22" spans="1:8" ht="15.75" x14ac:dyDescent="0.3">
      <c r="A22" s="183" t="s">
        <v>150</v>
      </c>
      <c r="B22" s="72" t="s">
        <v>21</v>
      </c>
      <c r="C22" s="96">
        <f>Input!C26</f>
        <v>23.549998883928573</v>
      </c>
      <c r="D22" s="96">
        <f>Input!D26</f>
        <v>47.049998046874997</v>
      </c>
      <c r="E22" s="96">
        <f>Input!E26</f>
        <v>9.0299999999999994</v>
      </c>
      <c r="F22" s="96">
        <f>Input!F26</f>
        <v>53.316666666666663</v>
      </c>
      <c r="G22" s="239">
        <f>Input!G26</f>
        <v>70.116666666666674</v>
      </c>
      <c r="H22" s="254"/>
    </row>
    <row r="23" spans="1:8" ht="15.75" x14ac:dyDescent="0.3">
      <c r="A23" s="183"/>
      <c r="B23" s="72" t="s">
        <v>137</v>
      </c>
      <c r="C23" s="96">
        <f>Input!C27</f>
        <v>9.35</v>
      </c>
      <c r="D23" s="96">
        <f>Input!D27</f>
        <v>16.299992187499999</v>
      </c>
      <c r="E23" s="96">
        <f>Input!E27</f>
        <v>0.49</v>
      </c>
      <c r="F23" s="96">
        <f>Input!F27</f>
        <v>12.3</v>
      </c>
      <c r="G23" s="239">
        <f>Input!G27</f>
        <v>42.2</v>
      </c>
      <c r="H23" s="254"/>
    </row>
    <row r="24" spans="1:8" ht="15.75" x14ac:dyDescent="0.3">
      <c r="A24" s="183"/>
      <c r="B24" s="72" t="s">
        <v>138</v>
      </c>
      <c r="C24" s="96">
        <f>Input!C28</f>
        <v>53.5</v>
      </c>
      <c r="D24" s="96">
        <f>Input!D28</f>
        <v>98.3</v>
      </c>
      <c r="E24" s="96">
        <f>Input!E28</f>
        <v>16.8</v>
      </c>
      <c r="F24" s="96">
        <f>Input!F28</f>
        <v>116</v>
      </c>
      <c r="G24" s="239">
        <f>Input!G28</f>
        <v>100</v>
      </c>
      <c r="H24" s="254"/>
    </row>
    <row r="25" spans="1:8" ht="15.75" x14ac:dyDescent="0.3">
      <c r="A25" s="183"/>
      <c r="B25" s="72" t="s">
        <v>22</v>
      </c>
      <c r="C25" s="96">
        <f>Input!C29</f>
        <v>20.628571428571426</v>
      </c>
      <c r="D25" s="96">
        <f>Input!D29</f>
        <v>28.175000000000001</v>
      </c>
      <c r="E25" s="96">
        <f>Input!E29</f>
        <v>6.625</v>
      </c>
      <c r="F25" s="96">
        <f>Input!F29</f>
        <v>27.966666666666669</v>
      </c>
      <c r="G25" s="239">
        <f>Input!G29</f>
        <v>18.535</v>
      </c>
      <c r="H25" s="254"/>
    </row>
    <row r="26" spans="1:8" ht="15.75" x14ac:dyDescent="0.3">
      <c r="A26" s="183"/>
      <c r="B26" s="72" t="s">
        <v>137</v>
      </c>
      <c r="C26" s="96">
        <f>Input!C30</f>
        <v>10.7</v>
      </c>
      <c r="D26" s="96">
        <f>Input!D30</f>
        <v>13.7</v>
      </c>
      <c r="E26" s="96">
        <f>Input!E30</f>
        <v>2.4500000000000002</v>
      </c>
      <c r="F26" s="96">
        <f>Input!F30</f>
        <v>13</v>
      </c>
      <c r="G26" s="239">
        <f>Input!G30</f>
        <v>5.91</v>
      </c>
      <c r="H26" s="254"/>
    </row>
    <row r="27" spans="1:8" ht="15.75" x14ac:dyDescent="0.3">
      <c r="A27" s="183"/>
      <c r="B27" s="72" t="s">
        <v>138</v>
      </c>
      <c r="C27" s="96">
        <f>Input!C31</f>
        <v>29.2</v>
      </c>
      <c r="D27" s="96">
        <f>Input!D31</f>
        <v>41.1</v>
      </c>
      <c r="E27" s="96">
        <f>Input!E31</f>
        <v>14.2</v>
      </c>
      <c r="F27" s="96">
        <f>Input!F31</f>
        <v>47.6</v>
      </c>
      <c r="G27" s="239">
        <f>Input!G31</f>
        <v>23</v>
      </c>
      <c r="H27" s="254"/>
    </row>
    <row r="28" spans="1:8" ht="15.75" x14ac:dyDescent="0.3">
      <c r="A28" s="183"/>
      <c r="B28" s="73" t="s">
        <v>131</v>
      </c>
      <c r="C28" s="74">
        <f>IFERROR(RANK(C22,$C$22:$H$22,0),"-")</f>
        <v>4</v>
      </c>
      <c r="D28" s="74">
        <f t="shared" ref="D28:H28" si="5">IFERROR(RANK(D22,$C$22:$H$22,0),"-")</f>
        <v>3</v>
      </c>
      <c r="E28" s="74">
        <f t="shared" si="5"/>
        <v>5</v>
      </c>
      <c r="F28" s="74">
        <f t="shared" si="5"/>
        <v>2</v>
      </c>
      <c r="G28" s="240">
        <f t="shared" si="5"/>
        <v>1</v>
      </c>
      <c r="H28" s="251"/>
    </row>
    <row r="29" spans="1:8" ht="15.75" x14ac:dyDescent="0.3">
      <c r="A29" s="184"/>
      <c r="B29" s="73" t="s">
        <v>135</v>
      </c>
      <c r="C29" s="74">
        <f>IFERROR(RANK(C25,$C$25:$H$25,0),"-")</f>
        <v>3</v>
      </c>
      <c r="D29" s="74">
        <f t="shared" ref="D29:H29" si="6">IFERROR(RANK(D25,$C$25:$H$25,0),"-")</f>
        <v>1</v>
      </c>
      <c r="E29" s="74">
        <f t="shared" si="6"/>
        <v>5</v>
      </c>
      <c r="F29" s="74">
        <f t="shared" si="6"/>
        <v>2</v>
      </c>
      <c r="G29" s="240">
        <f t="shared" si="6"/>
        <v>4</v>
      </c>
      <c r="H29" s="251"/>
    </row>
    <row r="30" spans="1:8" ht="15.75" x14ac:dyDescent="0.3">
      <c r="A30" s="185" t="s">
        <v>152</v>
      </c>
      <c r="B30" s="75" t="s">
        <v>153</v>
      </c>
      <c r="C30" s="76">
        <f>Input!C41</f>
        <v>0</v>
      </c>
      <c r="D30" s="76">
        <f>Input!D41</f>
        <v>0</v>
      </c>
      <c r="E30" s="76">
        <f>Input!E41</f>
        <v>0</v>
      </c>
      <c r="F30" s="76">
        <f>Input!F41</f>
        <v>0</v>
      </c>
      <c r="G30" s="241">
        <f>Input!G41</f>
        <v>0</v>
      </c>
      <c r="H30" s="249"/>
    </row>
    <row r="31" spans="1:8" ht="15.75" x14ac:dyDescent="0.3">
      <c r="A31" s="186"/>
      <c r="B31" s="75" t="s">
        <v>154</v>
      </c>
      <c r="C31" s="76">
        <f>Input!C42</f>
        <v>59.914285714285711</v>
      </c>
      <c r="D31" s="76">
        <f>Input!D42</f>
        <v>50.342857142857142</v>
      </c>
      <c r="E31" s="76">
        <f>Input!E42</f>
        <v>45.542857142857144</v>
      </c>
      <c r="F31" s="76">
        <f>Input!F42</f>
        <v>66.099999999999994</v>
      </c>
      <c r="G31" s="241">
        <f>Input!G42</f>
        <v>60.314285714285717</v>
      </c>
      <c r="H31" s="249"/>
    </row>
    <row r="32" spans="1:8" ht="15.75" x14ac:dyDescent="0.3">
      <c r="A32" s="77" t="s">
        <v>19</v>
      </c>
      <c r="B32" s="78" t="s">
        <v>28</v>
      </c>
      <c r="C32" s="79">
        <f>Input!C33</f>
        <v>3.7999999523162842</v>
      </c>
      <c r="D32" s="79">
        <f>Input!D33</f>
        <v>3.8714286259242465</v>
      </c>
      <c r="E32" s="79">
        <f>Input!E33</f>
        <v>3.5</v>
      </c>
      <c r="F32" s="79">
        <f>Input!F33</f>
        <v>3.8428571564810619</v>
      </c>
      <c r="G32" s="242">
        <f>Input!G33</f>
        <v>2.5999999046325684</v>
      </c>
      <c r="H32" s="255"/>
    </row>
    <row r="33" spans="1:8" ht="15.75" x14ac:dyDescent="0.3">
      <c r="A33" s="187" t="s">
        <v>25</v>
      </c>
      <c r="B33" s="80" t="s">
        <v>29</v>
      </c>
      <c r="C33" s="81">
        <f>Input!C46</f>
        <v>4.3449999999999998</v>
      </c>
      <c r="D33" s="81">
        <f>Input!D46</f>
        <v>4.3659999999999997</v>
      </c>
      <c r="E33" s="81">
        <f>Input!E46</f>
        <v>4.2819999999999991</v>
      </c>
      <c r="F33" s="81">
        <f>Input!F46</f>
        <v>4.3900000000000006</v>
      </c>
      <c r="G33" s="243">
        <f>Input!G46</f>
        <v>4.2950000000000008</v>
      </c>
      <c r="H33" s="249"/>
    </row>
    <row r="34" spans="1:8" x14ac:dyDescent="0.2">
      <c r="A34" s="188"/>
      <c r="B34" s="82" t="s">
        <v>7</v>
      </c>
      <c r="C34" s="81">
        <f>Input!C43</f>
        <v>100</v>
      </c>
      <c r="D34" s="81">
        <f>Input!D43</f>
        <v>83.333333333333343</v>
      </c>
      <c r="E34" s="81">
        <f>Input!E43</f>
        <v>83.333333333333343</v>
      </c>
      <c r="F34" s="81">
        <f>Input!F43</f>
        <v>57.142857142857139</v>
      </c>
      <c r="G34" s="243">
        <f>Input!G43</f>
        <v>100</v>
      </c>
      <c r="H34" s="249"/>
    </row>
    <row r="35" spans="1:8" ht="15.75" x14ac:dyDescent="0.3">
      <c r="A35" s="164" t="s">
        <v>26</v>
      </c>
      <c r="B35" s="83" t="s">
        <v>165</v>
      </c>
      <c r="C35" s="91">
        <f>Input!C49</f>
        <v>1.3505999999999998</v>
      </c>
      <c r="D35" s="91">
        <f>Input!D49</f>
        <v>1.1679999999999999</v>
      </c>
      <c r="E35" s="91">
        <f>Input!E49</f>
        <v>1.5012000000000001</v>
      </c>
      <c r="F35" s="91">
        <f>Input!F49</f>
        <v>2.0017999999999998</v>
      </c>
      <c r="G35" s="244">
        <f>Input!G49</f>
        <v>1.1282000000000001</v>
      </c>
      <c r="H35" s="255"/>
    </row>
    <row r="36" spans="1:8" ht="15.75" x14ac:dyDescent="0.3">
      <c r="A36" s="165"/>
      <c r="B36" s="83" t="s">
        <v>166</v>
      </c>
      <c r="C36" s="91">
        <f>Input!C47</f>
        <v>50</v>
      </c>
      <c r="D36" s="91">
        <f>Input!D47</f>
        <v>50</v>
      </c>
      <c r="E36" s="91">
        <f>Input!E47</f>
        <v>50</v>
      </c>
      <c r="F36" s="91">
        <f>Input!F47</f>
        <v>50</v>
      </c>
      <c r="G36" s="244">
        <f>Input!G47</f>
        <v>50</v>
      </c>
      <c r="H36" s="255"/>
    </row>
  </sheetData>
  <mergeCells count="12">
    <mergeCell ref="A35:A36"/>
    <mergeCell ref="A1:B1"/>
    <mergeCell ref="A2:A5"/>
    <mergeCell ref="J2:J4"/>
    <mergeCell ref="J5:J10"/>
    <mergeCell ref="A6:A9"/>
    <mergeCell ref="A10:A13"/>
    <mergeCell ref="A14:A17"/>
    <mergeCell ref="A18:A21"/>
    <mergeCell ref="A22:A29"/>
    <mergeCell ref="A30:A31"/>
    <mergeCell ref="A33:A34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ExportTableToPowerPoint_SummaryData">
                <anchor moveWithCells="1" sizeWithCells="1">
                  <from>
                    <xdr:col>8</xdr:col>
                    <xdr:colOff>676275</xdr:colOff>
                    <xdr:row>14</xdr:row>
                    <xdr:rowOff>0</xdr:rowOff>
                  </from>
                  <to>
                    <xdr:col>12</xdr:col>
                    <xdr:colOff>400050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ExportTableToPowerPoint_SummaryVoice">
                <anchor moveWithCells="1" sizeWithCells="1">
                  <from>
                    <xdr:col>13</xdr:col>
                    <xdr:colOff>9525</xdr:colOff>
                    <xdr:row>13</xdr:row>
                    <xdr:rowOff>190500</xdr:rowOff>
                  </from>
                  <to>
                    <xdr:col>18</xdr:col>
                    <xdr:colOff>409575</xdr:colOff>
                    <xdr:row>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5" name="Button 4">
              <controlPr defaultSize="0" print="0" autoFill="0" autoPict="0" macro="[0]!ExportChartsToPowerPoint_MultipleWorksheets">
                <anchor moveWithCells="1" sizeWithCells="1">
                  <from>
                    <xdr:col>9</xdr:col>
                    <xdr:colOff>0</xdr:colOff>
                    <xdr:row>24</xdr:row>
                    <xdr:rowOff>180975</xdr:rowOff>
                  </from>
                  <to>
                    <xdr:col>12</xdr:col>
                    <xdr:colOff>409575</xdr:colOff>
                    <xdr:row>33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7" tint="0.59999389629810485"/>
  </sheetPr>
  <dimension ref="A1:AS70"/>
  <sheetViews>
    <sheetView workbookViewId="0">
      <pane ySplit="1" topLeftCell="A2" activePane="bottomLeft" state="frozen"/>
      <selection pane="bottomLeft" activeCell="G16" sqref="G16"/>
    </sheetView>
  </sheetViews>
  <sheetFormatPr defaultRowHeight="14.25" x14ac:dyDescent="0.2"/>
  <cols>
    <col min="1" max="1" width="21.5" bestFit="1" customWidth="1"/>
    <col min="2" max="2" width="36.125" customWidth="1"/>
    <col min="3" max="3" width="7.5" customWidth="1"/>
    <col min="4" max="4" width="18" bestFit="1" customWidth="1"/>
    <col min="5" max="5" width="12.625" customWidth="1"/>
    <col min="6" max="6" width="12.875" customWidth="1"/>
    <col min="7" max="7" width="8.375" bestFit="1" customWidth="1"/>
    <col min="8" max="9" width="7.25" customWidth="1"/>
    <col min="11" max="11" width="9.75" bestFit="1" customWidth="1"/>
    <col min="13" max="13" width="14" bestFit="1" customWidth="1"/>
    <col min="20" max="20" width="9.375" bestFit="1" customWidth="1"/>
    <col min="21" max="21" width="14" bestFit="1" customWidth="1"/>
    <col min="22" max="22" width="10.375" bestFit="1" customWidth="1"/>
    <col min="23" max="23" width="9.375" bestFit="1" customWidth="1"/>
    <col min="27" max="27" width="11.375" bestFit="1" customWidth="1"/>
    <col min="28" max="28" width="14" bestFit="1" customWidth="1"/>
    <col min="29" max="30" width="11.375" bestFit="1" customWidth="1"/>
    <col min="35" max="35" width="14" bestFit="1" customWidth="1"/>
    <col min="42" max="42" width="14" bestFit="1" customWidth="1"/>
    <col min="45" max="45" width="9" customWidth="1"/>
  </cols>
  <sheetData>
    <row r="1" spans="1:45" ht="15.75" x14ac:dyDescent="0.2">
      <c r="B1" s="1" t="s">
        <v>0</v>
      </c>
      <c r="C1" s="2">
        <v>3</v>
      </c>
      <c r="D1" s="3" t="s">
        <v>1</v>
      </c>
      <c r="E1" s="5" t="s">
        <v>2</v>
      </c>
      <c r="F1" s="131" t="s">
        <v>3</v>
      </c>
      <c r="G1" s="6" t="s">
        <v>4</v>
      </c>
      <c r="H1" s="101"/>
      <c r="K1" s="9" t="s">
        <v>39</v>
      </c>
      <c r="L1" s="2">
        <v>3</v>
      </c>
      <c r="M1" s="3" t="s">
        <v>1</v>
      </c>
      <c r="N1" s="5" t="s">
        <v>2</v>
      </c>
      <c r="O1" s="4" t="s">
        <v>3</v>
      </c>
      <c r="P1" s="6" t="s">
        <v>4</v>
      </c>
      <c r="S1" s="9" t="s">
        <v>39</v>
      </c>
      <c r="T1" s="2">
        <v>3</v>
      </c>
      <c r="U1" s="3" t="s">
        <v>1</v>
      </c>
      <c r="V1" s="4" t="s">
        <v>3</v>
      </c>
      <c r="W1" s="6" t="s">
        <v>4</v>
      </c>
      <c r="Z1" s="9" t="s">
        <v>39</v>
      </c>
      <c r="AA1" s="2">
        <v>3</v>
      </c>
      <c r="AB1" s="3" t="s">
        <v>1</v>
      </c>
      <c r="AC1" s="4" t="s">
        <v>3</v>
      </c>
      <c r="AD1" s="6" t="s">
        <v>4</v>
      </c>
      <c r="AG1" s="9" t="s">
        <v>39</v>
      </c>
      <c r="AH1" s="2">
        <v>3</v>
      </c>
      <c r="AI1" s="3" t="s">
        <v>1</v>
      </c>
      <c r="AJ1" s="4" t="s">
        <v>3</v>
      </c>
      <c r="AK1" s="6" t="s">
        <v>4</v>
      </c>
      <c r="AN1" s="9" t="s">
        <v>39</v>
      </c>
      <c r="AO1" s="2">
        <v>3</v>
      </c>
      <c r="AP1" s="3" t="s">
        <v>1</v>
      </c>
      <c r="AQ1" s="4" t="s">
        <v>3</v>
      </c>
      <c r="AR1" s="6" t="s">
        <v>4</v>
      </c>
    </row>
    <row r="2" spans="1:45" ht="15" x14ac:dyDescent="0.25">
      <c r="A2" s="190" t="s">
        <v>30</v>
      </c>
      <c r="B2" s="7" t="s">
        <v>31</v>
      </c>
      <c r="C2" s="8">
        <v>4.3899999999999997</v>
      </c>
      <c r="D2" s="8">
        <v>0</v>
      </c>
      <c r="E2" s="8">
        <v>0</v>
      </c>
      <c r="F2" s="102">
        <v>0.2</v>
      </c>
      <c r="G2" s="8">
        <v>0</v>
      </c>
      <c r="H2" s="119"/>
      <c r="J2" s="213" t="s">
        <v>43</v>
      </c>
      <c r="K2" s="9" t="s">
        <v>44</v>
      </c>
      <c r="L2" s="14">
        <v>5388</v>
      </c>
      <c r="M2" s="14">
        <v>2471</v>
      </c>
      <c r="N2" s="14">
        <v>7611</v>
      </c>
      <c r="O2" s="14">
        <v>4255</v>
      </c>
      <c r="P2" s="14">
        <v>3167</v>
      </c>
      <c r="R2" s="211" t="s">
        <v>121</v>
      </c>
      <c r="S2" s="9" t="s">
        <v>44</v>
      </c>
      <c r="T2" s="14">
        <v>3293</v>
      </c>
      <c r="U2" s="14">
        <v>0</v>
      </c>
      <c r="V2" s="14">
        <v>3872</v>
      </c>
      <c r="W2" s="14">
        <v>0</v>
      </c>
      <c r="Y2" s="213" t="s">
        <v>122</v>
      </c>
      <c r="Z2" s="9" t="s">
        <v>44</v>
      </c>
      <c r="AA2" s="14">
        <v>1829</v>
      </c>
      <c r="AB2" s="14">
        <v>0</v>
      </c>
      <c r="AC2" s="14">
        <v>2515</v>
      </c>
      <c r="AD2" s="14">
        <v>0</v>
      </c>
      <c r="AF2" s="189" t="s">
        <v>45</v>
      </c>
      <c r="AG2" s="9" t="s">
        <v>44</v>
      </c>
      <c r="AH2" s="14">
        <v>350</v>
      </c>
      <c r="AI2" s="14">
        <v>0</v>
      </c>
      <c r="AJ2" s="14">
        <v>28</v>
      </c>
      <c r="AK2" s="14">
        <v>0</v>
      </c>
      <c r="AM2" s="189" t="s">
        <v>46</v>
      </c>
      <c r="AN2" s="9" t="s">
        <v>44</v>
      </c>
      <c r="AO2" s="14">
        <v>208</v>
      </c>
      <c r="AP2" s="14">
        <v>0</v>
      </c>
      <c r="AQ2" s="14">
        <v>18</v>
      </c>
      <c r="AR2" s="14">
        <v>0</v>
      </c>
    </row>
    <row r="3" spans="1:45" ht="15" x14ac:dyDescent="0.25">
      <c r="A3" s="191"/>
      <c r="B3" s="7" t="s">
        <v>32</v>
      </c>
      <c r="C3" s="8">
        <v>30.26</v>
      </c>
      <c r="D3" s="8">
        <v>0</v>
      </c>
      <c r="E3" s="8">
        <v>0</v>
      </c>
      <c r="F3" s="102">
        <v>34.29</v>
      </c>
      <c r="G3" s="8">
        <v>0</v>
      </c>
      <c r="H3" s="120"/>
      <c r="J3" s="214"/>
      <c r="K3" s="9" t="s">
        <v>40</v>
      </c>
      <c r="L3" s="14">
        <v>1110</v>
      </c>
      <c r="M3" s="14">
        <v>2060</v>
      </c>
      <c r="N3" s="14">
        <v>1924</v>
      </c>
      <c r="O3" s="14">
        <v>1631</v>
      </c>
      <c r="P3" s="14">
        <v>1925</v>
      </c>
      <c r="R3" s="212"/>
      <c r="S3" s="9" t="s">
        <v>40</v>
      </c>
      <c r="T3" s="14">
        <v>350</v>
      </c>
      <c r="U3" s="14">
        <v>0</v>
      </c>
      <c r="V3" s="14">
        <v>636</v>
      </c>
      <c r="W3" s="14">
        <v>0</v>
      </c>
      <c r="Y3" s="214"/>
      <c r="Z3" s="9" t="s">
        <v>40</v>
      </c>
      <c r="AA3" s="14">
        <v>1544</v>
      </c>
      <c r="AB3" s="14">
        <v>0</v>
      </c>
      <c r="AC3" s="14">
        <v>1326</v>
      </c>
      <c r="AD3" s="14">
        <v>0</v>
      </c>
      <c r="AF3" s="189"/>
      <c r="AG3" s="9" t="s">
        <v>40</v>
      </c>
      <c r="AH3" s="14">
        <v>14</v>
      </c>
      <c r="AI3" s="14">
        <v>0</v>
      </c>
      <c r="AJ3" s="14">
        <v>0</v>
      </c>
      <c r="AK3" s="14">
        <v>0</v>
      </c>
      <c r="AM3" s="189"/>
      <c r="AN3" s="9" t="s">
        <v>40</v>
      </c>
      <c r="AO3" s="14">
        <v>73</v>
      </c>
      <c r="AP3" s="14">
        <v>0</v>
      </c>
      <c r="AQ3" s="14">
        <v>0</v>
      </c>
      <c r="AR3" s="14">
        <v>0</v>
      </c>
    </row>
    <row r="4" spans="1:45" ht="15" x14ac:dyDescent="0.25">
      <c r="A4" s="192"/>
      <c r="B4" s="7" t="s">
        <v>33</v>
      </c>
      <c r="C4" s="8">
        <v>65.349999999999994</v>
      </c>
      <c r="D4" s="8">
        <v>100</v>
      </c>
      <c r="E4" s="8">
        <v>100</v>
      </c>
      <c r="F4" s="102">
        <v>65.510000000000005</v>
      </c>
      <c r="G4" s="8">
        <v>100</v>
      </c>
      <c r="H4" s="120"/>
      <c r="J4" s="214"/>
      <c r="K4" s="9" t="s">
        <v>41</v>
      </c>
      <c r="L4" s="14">
        <v>563</v>
      </c>
      <c r="M4" s="14">
        <v>4486</v>
      </c>
      <c r="N4" s="14">
        <v>1952</v>
      </c>
      <c r="O4" s="14">
        <v>1326</v>
      </c>
      <c r="P4" s="14">
        <v>4078</v>
      </c>
      <c r="R4" s="212"/>
      <c r="S4" s="9" t="s">
        <v>41</v>
      </c>
      <c r="T4" s="14">
        <v>146</v>
      </c>
      <c r="U4" s="14">
        <v>0</v>
      </c>
      <c r="V4" s="14">
        <v>31</v>
      </c>
      <c r="W4" s="14">
        <v>0</v>
      </c>
      <c r="Y4" s="214"/>
      <c r="Z4" s="9" t="s">
        <v>41</v>
      </c>
      <c r="AA4" s="14">
        <v>385</v>
      </c>
      <c r="AB4" s="14">
        <v>0</v>
      </c>
      <c r="AC4" s="14">
        <v>532</v>
      </c>
      <c r="AD4" s="14">
        <v>0</v>
      </c>
      <c r="AF4" s="189"/>
      <c r="AG4" s="9" t="s">
        <v>41</v>
      </c>
      <c r="AH4" s="14">
        <v>0</v>
      </c>
      <c r="AI4" s="14">
        <v>0</v>
      </c>
      <c r="AJ4" s="14">
        <v>0</v>
      </c>
      <c r="AK4" s="14">
        <v>0</v>
      </c>
      <c r="AM4" s="189"/>
      <c r="AN4" s="9" t="s">
        <v>41</v>
      </c>
      <c r="AO4" s="14">
        <v>68</v>
      </c>
      <c r="AP4" s="14">
        <v>0</v>
      </c>
      <c r="AQ4" s="14">
        <v>5</v>
      </c>
      <c r="AR4" s="14">
        <v>0</v>
      </c>
    </row>
    <row r="5" spans="1:45" ht="15" x14ac:dyDescent="0.25">
      <c r="A5" s="201" t="s">
        <v>127</v>
      </c>
      <c r="B5" s="15" t="s">
        <v>140</v>
      </c>
      <c r="C5" s="16">
        <v>80</v>
      </c>
      <c r="D5" s="16">
        <v>80</v>
      </c>
      <c r="E5" s="16">
        <v>60</v>
      </c>
      <c r="F5" s="103">
        <v>100</v>
      </c>
      <c r="G5" s="16">
        <v>100</v>
      </c>
      <c r="H5" s="121"/>
      <c r="J5" s="214"/>
      <c r="K5" s="9" t="s">
        <v>42</v>
      </c>
      <c r="L5" s="14">
        <v>89</v>
      </c>
      <c r="M5" s="14">
        <v>2270</v>
      </c>
      <c r="N5" s="14">
        <v>481</v>
      </c>
      <c r="O5" s="14">
        <v>169</v>
      </c>
      <c r="P5" s="14">
        <v>1742</v>
      </c>
      <c r="R5" s="212"/>
      <c r="S5" s="9" t="s">
        <v>42</v>
      </c>
      <c r="T5" s="14">
        <v>56</v>
      </c>
      <c r="U5" s="14">
        <v>0</v>
      </c>
      <c r="V5" s="14">
        <v>2</v>
      </c>
      <c r="W5" s="14">
        <v>0</v>
      </c>
      <c r="Y5" s="214"/>
      <c r="Z5" s="9" t="s">
        <v>42</v>
      </c>
      <c r="AA5" s="14">
        <v>87</v>
      </c>
      <c r="AB5" s="14">
        <v>0</v>
      </c>
      <c r="AC5" s="14">
        <v>168</v>
      </c>
      <c r="AD5" s="14">
        <v>0</v>
      </c>
      <c r="AF5" s="189"/>
      <c r="AG5" s="9" t="s">
        <v>42</v>
      </c>
      <c r="AH5" s="14">
        <v>1</v>
      </c>
      <c r="AI5" s="14">
        <v>0</v>
      </c>
      <c r="AJ5" s="14">
        <v>0</v>
      </c>
      <c r="AK5" s="14">
        <v>0</v>
      </c>
      <c r="AM5" s="189"/>
      <c r="AN5" s="9" t="s">
        <v>42</v>
      </c>
      <c r="AO5" s="14">
        <v>5</v>
      </c>
      <c r="AP5" s="14">
        <v>0</v>
      </c>
      <c r="AQ5" s="14">
        <v>3</v>
      </c>
      <c r="AR5" s="14">
        <v>0</v>
      </c>
    </row>
    <row r="6" spans="1:45" ht="15" x14ac:dyDescent="0.25">
      <c r="A6" s="202"/>
      <c r="B6" s="15" t="s">
        <v>128</v>
      </c>
      <c r="C6" s="16">
        <v>17.613925999999999</v>
      </c>
      <c r="D6" s="16">
        <v>33.153730000000003</v>
      </c>
      <c r="E6" s="16">
        <v>11.894360000000001</v>
      </c>
      <c r="F6" s="103">
        <v>61.133779200000006</v>
      </c>
      <c r="G6" s="16">
        <v>52.314908799999998</v>
      </c>
      <c r="H6" s="121"/>
      <c r="J6" s="215"/>
      <c r="K6" s="9" t="s">
        <v>160</v>
      </c>
      <c r="L6" s="14">
        <v>7150</v>
      </c>
      <c r="M6" s="14">
        <v>11287</v>
      </c>
      <c r="N6" s="14">
        <v>11968</v>
      </c>
      <c r="O6" s="14">
        <v>7381</v>
      </c>
      <c r="P6" s="14">
        <v>10912</v>
      </c>
      <c r="R6" s="212"/>
      <c r="S6" s="9" t="s">
        <v>160</v>
      </c>
      <c r="T6" s="14">
        <v>3845</v>
      </c>
      <c r="U6" s="14">
        <v>0</v>
      </c>
      <c r="V6" s="14">
        <v>4541</v>
      </c>
      <c r="W6" s="14">
        <v>0</v>
      </c>
      <c r="Y6" s="215"/>
      <c r="Z6" s="9" t="s">
        <v>160</v>
      </c>
      <c r="AA6" s="14">
        <v>3845</v>
      </c>
      <c r="AB6" s="14">
        <v>0</v>
      </c>
      <c r="AC6" s="14">
        <v>4541</v>
      </c>
      <c r="AD6" s="14">
        <v>0</v>
      </c>
      <c r="AF6" s="11"/>
      <c r="AG6" s="9" t="s">
        <v>160</v>
      </c>
      <c r="AH6" s="14">
        <v>365</v>
      </c>
      <c r="AI6" s="14">
        <v>0</v>
      </c>
      <c r="AJ6" s="14">
        <v>28</v>
      </c>
      <c r="AK6" s="14">
        <v>0</v>
      </c>
      <c r="AL6" s="11"/>
      <c r="AM6" s="11"/>
      <c r="AN6" s="9" t="s">
        <v>160</v>
      </c>
      <c r="AO6" s="14">
        <v>354</v>
      </c>
      <c r="AP6" s="14">
        <v>0</v>
      </c>
      <c r="AQ6" s="14">
        <v>26</v>
      </c>
      <c r="AR6" s="14">
        <v>0</v>
      </c>
    </row>
    <row r="7" spans="1:45" ht="15" x14ac:dyDescent="0.25">
      <c r="A7" s="202"/>
      <c r="B7" s="15" t="s">
        <v>129</v>
      </c>
      <c r="C7" s="16">
        <v>13.226184</v>
      </c>
      <c r="D7" s="16">
        <v>12.1066</v>
      </c>
      <c r="E7" s="16">
        <v>9.7048880000000004</v>
      </c>
      <c r="F7" s="103">
        <v>31.817784</v>
      </c>
      <c r="G7" s="16">
        <v>27.293624000000001</v>
      </c>
      <c r="H7" s="121"/>
      <c r="AL7" s="11"/>
      <c r="AS7" s="11"/>
    </row>
    <row r="8" spans="1:45" ht="15" x14ac:dyDescent="0.25">
      <c r="A8" s="202"/>
      <c r="B8" s="15" t="s">
        <v>130</v>
      </c>
      <c r="C8" s="16">
        <v>25.966991999999998</v>
      </c>
      <c r="D8" s="16">
        <v>55.463839999999998</v>
      </c>
      <c r="E8" s="16">
        <v>15.122272000000001</v>
      </c>
      <c r="F8" s="103">
        <v>100.35608000000001</v>
      </c>
      <c r="G8" s="16">
        <v>75.783135999999999</v>
      </c>
      <c r="H8" s="122"/>
      <c r="AL8" s="11"/>
      <c r="AS8" s="11"/>
    </row>
    <row r="9" spans="1:45" ht="15" x14ac:dyDescent="0.25">
      <c r="A9" s="203" t="s">
        <v>132</v>
      </c>
      <c r="B9" s="18" t="s">
        <v>141</v>
      </c>
      <c r="C9" s="19">
        <v>100</v>
      </c>
      <c r="D9" s="19">
        <v>100</v>
      </c>
      <c r="E9" s="19">
        <v>75</v>
      </c>
      <c r="F9" s="104">
        <v>100</v>
      </c>
      <c r="G9" s="132">
        <v>100</v>
      </c>
      <c r="H9" s="123"/>
      <c r="AL9" s="11"/>
      <c r="AS9" s="11"/>
    </row>
    <row r="10" spans="1:45" ht="15" x14ac:dyDescent="0.25">
      <c r="A10" s="203"/>
      <c r="B10" s="18" t="s">
        <v>22</v>
      </c>
      <c r="C10" s="19">
        <v>18.252908799999997</v>
      </c>
      <c r="D10" s="19">
        <v>24.240184000000003</v>
      </c>
      <c r="E10" s="19">
        <v>4.2807386666666671</v>
      </c>
      <c r="F10" s="104">
        <v>27.960675199999997</v>
      </c>
      <c r="G10" s="132">
        <v>19.197822399999996</v>
      </c>
      <c r="H10" s="123"/>
      <c r="AS10" s="11"/>
    </row>
    <row r="11" spans="1:45" ht="15" x14ac:dyDescent="0.25">
      <c r="A11" s="203"/>
      <c r="B11" s="18" t="s">
        <v>133</v>
      </c>
      <c r="C11" s="19">
        <v>2.9877199999999999</v>
      </c>
      <c r="D11" s="19">
        <v>15.095136</v>
      </c>
      <c r="E11" s="19">
        <v>2.3067919999999997</v>
      </c>
      <c r="F11" s="104">
        <v>7.7796560000000001</v>
      </c>
      <c r="G11" s="132">
        <v>18.159744</v>
      </c>
      <c r="H11" s="123"/>
    </row>
    <row r="12" spans="1:45" ht="15" customHeight="1" x14ac:dyDescent="0.25">
      <c r="A12" s="204"/>
      <c r="B12" s="18" t="s">
        <v>134</v>
      </c>
      <c r="C12" s="19">
        <v>26.024528</v>
      </c>
      <c r="D12" s="19">
        <v>43.074512000000006</v>
      </c>
      <c r="E12" s="19">
        <v>6.0274239999999999</v>
      </c>
      <c r="F12" s="104">
        <v>44.852176</v>
      </c>
      <c r="G12" s="132">
        <v>20.06344</v>
      </c>
      <c r="H12" s="123"/>
    </row>
    <row r="13" spans="1:45" ht="15" x14ac:dyDescent="0.25">
      <c r="A13" s="205" t="s">
        <v>20</v>
      </c>
      <c r="B13" s="20" t="s">
        <v>147</v>
      </c>
      <c r="C13" s="21">
        <v>100</v>
      </c>
      <c r="D13" s="21">
        <v>100</v>
      </c>
      <c r="E13" s="21">
        <v>100</v>
      </c>
      <c r="F13" s="105">
        <v>83.333333333333343</v>
      </c>
      <c r="G13" s="133">
        <v>100</v>
      </c>
      <c r="H13" s="123"/>
    </row>
    <row r="14" spans="1:45" ht="15" x14ac:dyDescent="0.25">
      <c r="A14" s="206"/>
      <c r="B14" s="20" t="s">
        <v>136</v>
      </c>
      <c r="C14" s="21">
        <v>5.7198000000000002</v>
      </c>
      <c r="D14" s="21">
        <v>6.7283462857142862</v>
      </c>
      <c r="E14" s="21">
        <v>3.6807908571428571</v>
      </c>
      <c r="F14" s="105">
        <v>2.0638912</v>
      </c>
      <c r="G14" s="133">
        <v>3.8637051428571429</v>
      </c>
      <c r="H14" s="123"/>
    </row>
    <row r="15" spans="1:45" ht="15" x14ac:dyDescent="0.25">
      <c r="A15" s="206"/>
      <c r="B15" s="20" t="s">
        <v>137</v>
      </c>
      <c r="C15" s="21">
        <v>3.912264</v>
      </c>
      <c r="D15" s="21">
        <v>6.2928800000000003</v>
      </c>
      <c r="E15" s="21">
        <v>0.834032</v>
      </c>
      <c r="F15" s="105">
        <v>1.1461600000000001</v>
      </c>
      <c r="G15" s="133">
        <v>1.6952639999999999</v>
      </c>
      <c r="H15" s="123"/>
    </row>
    <row r="16" spans="1:45" ht="14.25" customHeight="1" x14ac:dyDescent="0.25">
      <c r="A16" s="207"/>
      <c r="B16" s="20" t="s">
        <v>138</v>
      </c>
      <c r="C16" s="21">
        <v>7.4812640000000004</v>
      </c>
      <c r="D16" s="21">
        <v>7.3023920000000002</v>
      </c>
      <c r="E16" s="21">
        <v>7.4641279999999997</v>
      </c>
      <c r="F16" s="105">
        <v>3.4524720000000002</v>
      </c>
      <c r="G16" s="133">
        <v>5.3690720000000001</v>
      </c>
      <c r="H16" s="123"/>
    </row>
    <row r="17" spans="1:8" ht="15" x14ac:dyDescent="0.25">
      <c r="A17" s="208" t="s">
        <v>142</v>
      </c>
      <c r="B17" s="22" t="s">
        <v>148</v>
      </c>
      <c r="C17" s="23">
        <v>80</v>
      </c>
      <c r="D17" s="23">
        <v>100</v>
      </c>
      <c r="E17" s="23">
        <v>100</v>
      </c>
      <c r="F17" s="106">
        <v>100</v>
      </c>
      <c r="G17" s="23">
        <v>100</v>
      </c>
      <c r="H17" s="124"/>
    </row>
    <row r="18" spans="1:8" ht="15" x14ac:dyDescent="0.25">
      <c r="A18" s="209"/>
      <c r="B18" s="22" t="s">
        <v>143</v>
      </c>
      <c r="C18" s="23">
        <v>25.740383999999999</v>
      </c>
      <c r="D18" s="23">
        <v>60.577407999999998</v>
      </c>
      <c r="E18" s="23">
        <v>11.0171648</v>
      </c>
      <c r="F18" s="106">
        <v>77.680979199999996</v>
      </c>
      <c r="G18" s="23">
        <v>63.490006399999999</v>
      </c>
      <c r="H18" s="124"/>
    </row>
    <row r="19" spans="1:8" ht="14.25" customHeight="1" x14ac:dyDescent="0.25">
      <c r="A19" s="209"/>
      <c r="B19" s="22" t="s">
        <v>137</v>
      </c>
      <c r="C19" s="23">
        <v>10.428616</v>
      </c>
      <c r="D19" s="23">
        <v>8.9161359999999998</v>
      </c>
      <c r="E19" s="23">
        <v>0.57134400000000007</v>
      </c>
      <c r="F19" s="106">
        <v>43.081504000000002</v>
      </c>
      <c r="G19" s="23">
        <v>28.896144</v>
      </c>
      <c r="H19" s="124"/>
    </row>
    <row r="20" spans="1:8" ht="15" x14ac:dyDescent="0.25">
      <c r="A20" s="210"/>
      <c r="B20" s="22" t="s">
        <v>138</v>
      </c>
      <c r="C20" s="23">
        <v>40.992136000000002</v>
      </c>
      <c r="D20" s="23">
        <v>113.793944</v>
      </c>
      <c r="E20" s="23">
        <v>18.185856000000001</v>
      </c>
      <c r="F20" s="106">
        <v>109.69226399999999</v>
      </c>
      <c r="G20" s="23">
        <v>86.000615999999994</v>
      </c>
      <c r="H20" s="124"/>
    </row>
    <row r="21" spans="1:8" ht="15" x14ac:dyDescent="0.25">
      <c r="A21" s="222" t="s">
        <v>145</v>
      </c>
      <c r="B21" s="24" t="s">
        <v>149</v>
      </c>
      <c r="C21" s="93">
        <v>80</v>
      </c>
      <c r="D21" s="93">
        <v>100</v>
      </c>
      <c r="E21" s="93">
        <v>100</v>
      </c>
      <c r="F21" s="107">
        <v>80</v>
      </c>
      <c r="G21" s="93">
        <v>100</v>
      </c>
      <c r="H21" s="125"/>
    </row>
    <row r="22" spans="1:8" ht="15" x14ac:dyDescent="0.25">
      <c r="A22" s="223"/>
      <c r="B22" s="24" t="s">
        <v>143</v>
      </c>
      <c r="C22" s="93">
        <v>10.532620000000001</v>
      </c>
      <c r="D22" s="93">
        <v>37.031185600000008</v>
      </c>
      <c r="E22" s="93">
        <v>3.8588815999999997</v>
      </c>
      <c r="F22" s="107">
        <v>31.293238000000002</v>
      </c>
      <c r="G22" s="93">
        <v>20.155585599999998</v>
      </c>
      <c r="H22" s="125"/>
    </row>
    <row r="23" spans="1:8" ht="15" x14ac:dyDescent="0.25">
      <c r="A23" s="223"/>
      <c r="B23" s="24" t="s">
        <v>137</v>
      </c>
      <c r="C23" s="93">
        <v>1.2998080000000001</v>
      </c>
      <c r="D23" s="93">
        <v>31.756871999999998</v>
      </c>
      <c r="E23" s="93">
        <v>1.0274639999999999</v>
      </c>
      <c r="F23" s="107">
        <v>20.050472000000003</v>
      </c>
      <c r="G23" s="93">
        <v>19.809087999999999</v>
      </c>
      <c r="H23" s="125"/>
    </row>
    <row r="24" spans="1:8" ht="14.25" customHeight="1" x14ac:dyDescent="0.25">
      <c r="A24" s="224"/>
      <c r="B24" s="24" t="s">
        <v>138</v>
      </c>
      <c r="C24" s="93">
        <v>23.531680000000001</v>
      </c>
      <c r="D24" s="93">
        <v>40.630199999999995</v>
      </c>
      <c r="E24" s="93">
        <v>6.5974240000000002</v>
      </c>
      <c r="F24" s="107">
        <v>38.810447999999994</v>
      </c>
      <c r="G24" s="93">
        <v>20.863727999999998</v>
      </c>
      <c r="H24" s="125"/>
    </row>
    <row r="25" spans="1:8" ht="15" x14ac:dyDescent="0.25">
      <c r="A25" s="225" t="s">
        <v>150</v>
      </c>
      <c r="B25" s="25" t="s">
        <v>151</v>
      </c>
      <c r="C25" s="94">
        <v>100</v>
      </c>
      <c r="D25" s="94">
        <v>100</v>
      </c>
      <c r="E25" s="94">
        <v>100</v>
      </c>
      <c r="F25" s="108">
        <v>100</v>
      </c>
      <c r="G25" s="134">
        <v>100</v>
      </c>
      <c r="H25" s="123"/>
    </row>
    <row r="26" spans="1:8" ht="15" x14ac:dyDescent="0.25">
      <c r="A26" s="226"/>
      <c r="B26" s="25" t="s">
        <v>21</v>
      </c>
      <c r="C26" s="94">
        <v>23.549998883928573</v>
      </c>
      <c r="D26" s="94">
        <v>47.049998046874997</v>
      </c>
      <c r="E26" s="94">
        <v>9.0299999999999994</v>
      </c>
      <c r="F26" s="108">
        <v>53.316666666666663</v>
      </c>
      <c r="G26" s="134">
        <v>70.116666666666674</v>
      </c>
      <c r="H26" s="126"/>
    </row>
    <row r="27" spans="1:8" ht="15" x14ac:dyDescent="0.25">
      <c r="A27" s="226"/>
      <c r="B27" s="25" t="s">
        <v>161</v>
      </c>
      <c r="C27" s="94">
        <v>9.35</v>
      </c>
      <c r="D27" s="94">
        <v>16.299992187499999</v>
      </c>
      <c r="E27" s="94">
        <v>0.49</v>
      </c>
      <c r="F27" s="108">
        <v>12.3</v>
      </c>
      <c r="G27" s="134">
        <v>42.2</v>
      </c>
      <c r="H27" s="126"/>
    </row>
    <row r="28" spans="1:8" ht="15" x14ac:dyDescent="0.25">
      <c r="A28" s="226"/>
      <c r="B28" s="25" t="s">
        <v>162</v>
      </c>
      <c r="C28" s="94">
        <v>53.5</v>
      </c>
      <c r="D28" s="94">
        <v>98.3</v>
      </c>
      <c r="E28" s="94">
        <v>16.8</v>
      </c>
      <c r="F28" s="108">
        <v>116</v>
      </c>
      <c r="G28" s="134">
        <v>100</v>
      </c>
      <c r="H28" s="126"/>
    </row>
    <row r="29" spans="1:8" ht="15" x14ac:dyDescent="0.25">
      <c r="A29" s="226"/>
      <c r="B29" s="25" t="s">
        <v>22</v>
      </c>
      <c r="C29" s="94">
        <v>20.628571428571426</v>
      </c>
      <c r="D29" s="94">
        <v>28.175000000000001</v>
      </c>
      <c r="E29" s="94">
        <v>6.625</v>
      </c>
      <c r="F29" s="108">
        <v>27.966666666666669</v>
      </c>
      <c r="G29" s="134">
        <v>18.535</v>
      </c>
      <c r="H29" s="126"/>
    </row>
    <row r="30" spans="1:8" ht="15" x14ac:dyDescent="0.25">
      <c r="A30" s="226"/>
      <c r="B30" s="25" t="s">
        <v>163</v>
      </c>
      <c r="C30" s="94">
        <v>10.7</v>
      </c>
      <c r="D30" s="94">
        <v>13.7</v>
      </c>
      <c r="E30" s="94">
        <v>2.4500000000000002</v>
      </c>
      <c r="F30" s="108">
        <v>13</v>
      </c>
      <c r="G30" s="134">
        <v>5.91</v>
      </c>
      <c r="H30" s="126"/>
    </row>
    <row r="31" spans="1:8" ht="15" x14ac:dyDescent="0.25">
      <c r="A31" s="227"/>
      <c r="B31" s="25" t="s">
        <v>164</v>
      </c>
      <c r="C31" s="94">
        <v>29.2</v>
      </c>
      <c r="D31" s="94">
        <v>41.1</v>
      </c>
      <c r="E31" s="94">
        <v>14.2</v>
      </c>
      <c r="F31" s="108">
        <v>47.6</v>
      </c>
      <c r="G31" s="134">
        <v>23</v>
      </c>
      <c r="H31" s="126"/>
    </row>
    <row r="32" spans="1:8" ht="14.25" customHeight="1" x14ac:dyDescent="0.25">
      <c r="A32" s="216" t="s">
        <v>15</v>
      </c>
      <c r="B32" s="26" t="s">
        <v>16</v>
      </c>
      <c r="C32" s="27">
        <v>100</v>
      </c>
      <c r="D32" s="27">
        <v>100</v>
      </c>
      <c r="E32" s="27">
        <v>100</v>
      </c>
      <c r="F32" s="109">
        <v>100</v>
      </c>
      <c r="G32" s="27">
        <v>100</v>
      </c>
      <c r="H32" s="127"/>
    </row>
    <row r="33" spans="1:14" ht="15" x14ac:dyDescent="0.25">
      <c r="A33" s="217"/>
      <c r="B33" s="26" t="s">
        <v>17</v>
      </c>
      <c r="C33" s="28">
        <v>3.7999999523162842</v>
      </c>
      <c r="D33" s="28">
        <v>3.8714286259242465</v>
      </c>
      <c r="E33" s="28">
        <v>3.5</v>
      </c>
      <c r="F33" s="110">
        <v>3.8428571564810619</v>
      </c>
      <c r="G33" s="28">
        <v>2.5999999046325684</v>
      </c>
      <c r="H33" s="127"/>
      <c r="J33" s="13"/>
      <c r="K33" s="13"/>
      <c r="L33" s="13"/>
      <c r="M33" s="13"/>
      <c r="N33" s="13"/>
    </row>
    <row r="34" spans="1:14" ht="15" x14ac:dyDescent="0.25">
      <c r="A34" s="217"/>
      <c r="B34" s="26" t="s">
        <v>18</v>
      </c>
      <c r="C34" s="28">
        <v>2.6112857142857142</v>
      </c>
      <c r="D34" s="28">
        <v>2.8038571428571428</v>
      </c>
      <c r="E34" s="28">
        <v>8.1515714285714278</v>
      </c>
      <c r="F34" s="110">
        <v>3.036</v>
      </c>
      <c r="G34" s="28">
        <v>3.919</v>
      </c>
      <c r="H34" s="127"/>
    </row>
    <row r="35" spans="1:14" ht="15" x14ac:dyDescent="0.25">
      <c r="A35" s="217"/>
      <c r="B35" s="26" t="s">
        <v>125</v>
      </c>
      <c r="C35" s="28">
        <v>0</v>
      </c>
      <c r="D35" s="28">
        <v>100</v>
      </c>
      <c r="E35" s="28">
        <v>85.714285714285708</v>
      </c>
      <c r="F35" s="110">
        <v>100</v>
      </c>
      <c r="G35" s="28">
        <v>0</v>
      </c>
      <c r="H35" s="127"/>
    </row>
    <row r="36" spans="1:14" ht="15" x14ac:dyDescent="0.25">
      <c r="A36" s="217"/>
      <c r="B36" s="26" t="s">
        <v>34</v>
      </c>
      <c r="C36" s="28">
        <v>100</v>
      </c>
      <c r="D36" s="28">
        <v>0</v>
      </c>
      <c r="E36" s="28">
        <v>0</v>
      </c>
      <c r="F36" s="110">
        <v>0</v>
      </c>
      <c r="G36" s="28">
        <v>0</v>
      </c>
      <c r="H36" s="127"/>
    </row>
    <row r="37" spans="1:14" ht="15" x14ac:dyDescent="0.25">
      <c r="A37" s="217"/>
      <c r="B37" s="26" t="s">
        <v>35</v>
      </c>
      <c r="C37" s="28">
        <v>0</v>
      </c>
      <c r="D37" s="28">
        <v>0</v>
      </c>
      <c r="E37" s="28">
        <v>14.285714285714285</v>
      </c>
      <c r="F37" s="110">
        <v>0</v>
      </c>
      <c r="G37" s="28">
        <v>100</v>
      </c>
      <c r="H37" s="127"/>
    </row>
    <row r="38" spans="1:14" ht="15" x14ac:dyDescent="0.25">
      <c r="A38" s="217"/>
      <c r="B38" s="26" t="s">
        <v>36</v>
      </c>
      <c r="C38" s="28">
        <v>0</v>
      </c>
      <c r="D38" s="28">
        <v>0</v>
      </c>
      <c r="E38" s="28">
        <v>0</v>
      </c>
      <c r="F38" s="110">
        <v>0</v>
      </c>
      <c r="G38" s="28">
        <v>0</v>
      </c>
      <c r="H38" s="122"/>
    </row>
    <row r="39" spans="1:14" ht="15" x14ac:dyDescent="0.25">
      <c r="A39" s="217"/>
      <c r="B39" s="26" t="s">
        <v>37</v>
      </c>
      <c r="C39" s="28">
        <v>0</v>
      </c>
      <c r="D39" s="28">
        <v>0</v>
      </c>
      <c r="E39" s="28">
        <v>0</v>
      </c>
      <c r="F39" s="110">
        <v>0</v>
      </c>
      <c r="G39" s="28">
        <v>0</v>
      </c>
      <c r="H39" s="122"/>
    </row>
    <row r="40" spans="1:14" ht="15" x14ac:dyDescent="0.25">
      <c r="A40" s="217"/>
      <c r="B40" s="95" t="s">
        <v>176</v>
      </c>
      <c r="C40" s="28">
        <v>0</v>
      </c>
      <c r="D40" s="28">
        <v>0</v>
      </c>
      <c r="E40" s="28">
        <v>0</v>
      </c>
      <c r="F40" s="110">
        <v>0</v>
      </c>
      <c r="G40" s="28">
        <v>0</v>
      </c>
      <c r="H40" s="122"/>
    </row>
    <row r="41" spans="1:14" ht="15" x14ac:dyDescent="0.25">
      <c r="A41" s="199" t="s">
        <v>152</v>
      </c>
      <c r="B41" s="29" t="s">
        <v>153</v>
      </c>
      <c r="C41" s="30">
        <v>0</v>
      </c>
      <c r="D41" s="30">
        <v>0</v>
      </c>
      <c r="E41" s="30">
        <v>0</v>
      </c>
      <c r="F41" s="111">
        <v>0</v>
      </c>
      <c r="G41" s="135">
        <v>0</v>
      </c>
      <c r="H41" s="123"/>
    </row>
    <row r="42" spans="1:14" ht="15" x14ac:dyDescent="0.25">
      <c r="A42" s="200"/>
      <c r="B42" s="29" t="s">
        <v>154</v>
      </c>
      <c r="C42" s="30">
        <v>59.914285714285711</v>
      </c>
      <c r="D42" s="30">
        <v>50.342857142857142</v>
      </c>
      <c r="E42" s="30">
        <v>45.542857142857144</v>
      </c>
      <c r="F42" s="111">
        <v>66.099999999999994</v>
      </c>
      <c r="G42" s="135">
        <v>60.314285714285717</v>
      </c>
      <c r="H42" s="123"/>
    </row>
    <row r="43" spans="1:14" ht="15" x14ac:dyDescent="0.25">
      <c r="A43" s="193" t="s">
        <v>12</v>
      </c>
      <c r="B43" s="31" t="s">
        <v>7</v>
      </c>
      <c r="C43" s="32">
        <v>100</v>
      </c>
      <c r="D43" s="32">
        <v>83.333333333333343</v>
      </c>
      <c r="E43" s="32">
        <v>83.333333333333343</v>
      </c>
      <c r="F43" s="112">
        <v>57.142857142857139</v>
      </c>
      <c r="G43" s="32">
        <v>100</v>
      </c>
      <c r="H43" s="122"/>
    </row>
    <row r="44" spans="1:14" ht="15" x14ac:dyDescent="0.25">
      <c r="A44" s="194"/>
      <c r="B44" s="31" t="s">
        <v>8</v>
      </c>
      <c r="C44" s="32">
        <v>0</v>
      </c>
      <c r="D44" s="32">
        <v>0</v>
      </c>
      <c r="E44" s="32">
        <v>16.666666666666664</v>
      </c>
      <c r="F44" s="112">
        <v>0</v>
      </c>
      <c r="G44" s="32">
        <v>0</v>
      </c>
      <c r="H44" s="122"/>
    </row>
    <row r="45" spans="1:14" ht="15" x14ac:dyDescent="0.25">
      <c r="A45" s="194"/>
      <c r="B45" s="31" t="s">
        <v>9</v>
      </c>
      <c r="C45" s="32">
        <v>1.5564999878406525</v>
      </c>
      <c r="D45" s="32">
        <v>1.5979999780654908</v>
      </c>
      <c r="E45" s="32">
        <v>1.646666665871938</v>
      </c>
      <c r="F45" s="112">
        <v>1.578499972820282</v>
      </c>
      <c r="G45" s="32">
        <v>1.5652500092983246</v>
      </c>
      <c r="H45" s="122"/>
    </row>
    <row r="46" spans="1:14" ht="15" x14ac:dyDescent="0.25">
      <c r="A46" s="195"/>
      <c r="B46" s="31" t="s">
        <v>10</v>
      </c>
      <c r="C46" s="32">
        <v>4.3449999999999998</v>
      </c>
      <c r="D46" s="32">
        <v>4.3659999999999997</v>
      </c>
      <c r="E46" s="32">
        <v>4.2819999999999991</v>
      </c>
      <c r="F46" s="112">
        <v>4.3900000000000006</v>
      </c>
      <c r="G46" s="32">
        <v>4.2950000000000008</v>
      </c>
      <c r="H46" s="122"/>
    </row>
    <row r="47" spans="1:14" ht="15" x14ac:dyDescent="0.25">
      <c r="A47" s="196" t="s">
        <v>13</v>
      </c>
      <c r="B47" s="33" t="s">
        <v>123</v>
      </c>
      <c r="C47" s="34">
        <v>50</v>
      </c>
      <c r="D47" s="34">
        <v>50</v>
      </c>
      <c r="E47" s="34">
        <v>50</v>
      </c>
      <c r="F47" s="113">
        <v>50</v>
      </c>
      <c r="G47" s="34">
        <v>50</v>
      </c>
      <c r="H47" s="128"/>
    </row>
    <row r="48" spans="1:14" ht="15" x14ac:dyDescent="0.25">
      <c r="A48" s="197"/>
      <c r="B48" s="33" t="s">
        <v>124</v>
      </c>
      <c r="C48" s="98">
        <f>IFERROR(100-C47,0)</f>
        <v>50</v>
      </c>
      <c r="D48" s="98">
        <f>IFERROR(100-D47,0)</f>
        <v>50</v>
      </c>
      <c r="E48" s="98">
        <f>IFERROR(100-E47,0)</f>
        <v>50</v>
      </c>
      <c r="F48" s="114">
        <f>IFERROR(100-F47,0)</f>
        <v>50</v>
      </c>
      <c r="G48" s="98">
        <f t="shared" ref="G48" si="0">100-G47</f>
        <v>50</v>
      </c>
      <c r="H48" s="129"/>
    </row>
    <row r="49" spans="1:8" ht="15" x14ac:dyDescent="0.25">
      <c r="A49" s="198"/>
      <c r="B49" s="33" t="s">
        <v>14</v>
      </c>
      <c r="C49" s="34">
        <v>1.3505999999999998</v>
      </c>
      <c r="D49" s="34">
        <v>1.1679999999999999</v>
      </c>
      <c r="E49" s="34">
        <v>1.5012000000000001</v>
      </c>
      <c r="F49" s="113">
        <v>2.0017999999999998</v>
      </c>
      <c r="G49" s="34">
        <v>1.1282000000000001</v>
      </c>
      <c r="H49" s="128"/>
    </row>
    <row r="50" spans="1:8" ht="15" x14ac:dyDescent="0.25">
      <c r="A50" s="218" t="s">
        <v>27</v>
      </c>
      <c r="B50" s="35" t="s">
        <v>155</v>
      </c>
      <c r="C50" s="36">
        <v>5</v>
      </c>
      <c r="D50" s="36">
        <v>0</v>
      </c>
      <c r="E50" s="36">
        <v>4</v>
      </c>
      <c r="F50" s="115">
        <v>3</v>
      </c>
      <c r="G50" s="136">
        <v>5</v>
      </c>
      <c r="H50" s="126"/>
    </row>
    <row r="51" spans="1:8" ht="15" x14ac:dyDescent="0.25">
      <c r="A51" s="219"/>
      <c r="B51" s="35" t="s">
        <v>156</v>
      </c>
      <c r="C51" s="36">
        <v>5</v>
      </c>
      <c r="D51" s="36">
        <v>0</v>
      </c>
      <c r="E51" s="36">
        <v>4</v>
      </c>
      <c r="F51" s="115">
        <v>3</v>
      </c>
      <c r="G51" s="136">
        <v>5</v>
      </c>
      <c r="H51" s="126"/>
    </row>
    <row r="52" spans="1:8" ht="15" x14ac:dyDescent="0.25">
      <c r="A52" s="219"/>
      <c r="B52" s="35" t="s">
        <v>157</v>
      </c>
      <c r="C52" s="36">
        <f>IFERROR(C51/C50*100,0)</f>
        <v>100</v>
      </c>
      <c r="D52" s="36">
        <f>IFERROR(D51/D50*100,0)</f>
        <v>0</v>
      </c>
      <c r="E52" s="36">
        <f>IFERROR(E51/E50*100,0)</f>
        <v>100</v>
      </c>
      <c r="F52" s="115">
        <f>IFERROR(F51/F50*100,0)</f>
        <v>100</v>
      </c>
      <c r="G52" s="136">
        <f>IFERROR(G51/G50*100,0)</f>
        <v>100</v>
      </c>
      <c r="H52" s="126"/>
    </row>
    <row r="53" spans="1:8" ht="15" customHeight="1" x14ac:dyDescent="0.25">
      <c r="A53" s="219"/>
      <c r="B53" s="37" t="s">
        <v>11</v>
      </c>
      <c r="C53" s="38">
        <v>1.4430000000000001</v>
      </c>
      <c r="D53" s="38">
        <v>0</v>
      </c>
      <c r="E53" s="38">
        <v>2.2685</v>
      </c>
      <c r="F53" s="116">
        <v>1.306</v>
      </c>
      <c r="G53" s="38">
        <v>1.9198</v>
      </c>
      <c r="H53" s="128"/>
    </row>
    <row r="54" spans="1:8" ht="15" x14ac:dyDescent="0.25">
      <c r="A54" s="220" t="s">
        <v>5</v>
      </c>
      <c r="B54" s="39" t="s">
        <v>158</v>
      </c>
      <c r="C54" s="40">
        <v>33</v>
      </c>
      <c r="D54" s="40">
        <v>31</v>
      </c>
      <c r="E54" s="40">
        <v>32</v>
      </c>
      <c r="F54" s="117">
        <v>31</v>
      </c>
      <c r="G54" s="137">
        <v>32</v>
      </c>
      <c r="H54" s="126"/>
    </row>
    <row r="55" spans="1:8" ht="15" x14ac:dyDescent="0.25">
      <c r="A55" s="220"/>
      <c r="B55" s="39" t="s">
        <v>159</v>
      </c>
      <c r="C55" s="40">
        <v>5</v>
      </c>
      <c r="D55" s="40">
        <v>0</v>
      </c>
      <c r="E55" s="40">
        <v>1</v>
      </c>
      <c r="F55" s="117">
        <v>0</v>
      </c>
      <c r="G55" s="137">
        <v>1</v>
      </c>
      <c r="H55" s="126"/>
    </row>
    <row r="56" spans="1:8" ht="15" x14ac:dyDescent="0.25">
      <c r="A56" s="220"/>
      <c r="B56" s="39" t="s">
        <v>6</v>
      </c>
      <c r="C56" s="40">
        <v>0</v>
      </c>
      <c r="D56" s="40">
        <v>0</v>
      </c>
      <c r="E56" s="40">
        <v>0</v>
      </c>
      <c r="F56" s="117">
        <v>1</v>
      </c>
      <c r="G56" s="137">
        <v>0</v>
      </c>
      <c r="H56" s="126"/>
    </row>
    <row r="57" spans="1:8" ht="15" x14ac:dyDescent="0.25">
      <c r="A57" s="220"/>
      <c r="B57" s="39" t="s">
        <v>7</v>
      </c>
      <c r="C57" s="41">
        <f>IFERROR((C54-C55-C56)/C54*100,"-")</f>
        <v>84.848484848484844</v>
      </c>
      <c r="D57" s="41">
        <f t="shared" ref="D57:G57" si="1">IFERROR((D54-D55-D56)/D54*100,"-")</f>
        <v>100</v>
      </c>
      <c r="E57" s="41">
        <f t="shared" si="1"/>
        <v>96.875</v>
      </c>
      <c r="F57" s="118">
        <f t="shared" si="1"/>
        <v>96.774193548387103</v>
      </c>
      <c r="G57" s="138">
        <f t="shared" si="1"/>
        <v>96.875</v>
      </c>
      <c r="H57" s="123"/>
    </row>
    <row r="58" spans="1:8" ht="15" x14ac:dyDescent="0.25">
      <c r="A58" s="220"/>
      <c r="B58" s="39" t="s">
        <v>8</v>
      </c>
      <c r="C58" s="41">
        <f t="shared" ref="C58" si="2">IFERROR(C56/C54*100,"-")</f>
        <v>0</v>
      </c>
      <c r="D58" s="41">
        <f>IFERROR(D56/D54*100,"-")</f>
        <v>0</v>
      </c>
      <c r="E58" s="41">
        <f t="shared" ref="E58:G58" si="3">IFERROR(E56/E54*100,"-")</f>
        <v>0</v>
      </c>
      <c r="F58" s="118">
        <f t="shared" si="3"/>
        <v>3.225806451612903</v>
      </c>
      <c r="G58" s="138">
        <f t="shared" si="3"/>
        <v>0</v>
      </c>
      <c r="H58" s="123"/>
    </row>
    <row r="59" spans="1:8" ht="15" x14ac:dyDescent="0.25">
      <c r="A59" s="221"/>
      <c r="B59" s="42" t="s">
        <v>29</v>
      </c>
      <c r="C59" s="17">
        <v>4.0395098036410761</v>
      </c>
      <c r="D59" s="17">
        <v>4.2961290709434019</v>
      </c>
      <c r="E59" s="17">
        <v>4.0095967717709078</v>
      </c>
      <c r="F59" s="130">
        <v>4.0648360555289225</v>
      </c>
      <c r="G59" s="17">
        <v>4.2041803373665108</v>
      </c>
      <c r="H59" s="126"/>
    </row>
    <row r="62" spans="1:8" ht="15" x14ac:dyDescent="0.2">
      <c r="A62" s="211" t="s">
        <v>38</v>
      </c>
      <c r="B62" s="9" t="s">
        <v>39</v>
      </c>
      <c r="C62" s="2">
        <v>3</v>
      </c>
      <c r="D62" s="3" t="s">
        <v>1</v>
      </c>
      <c r="E62" s="5" t="s">
        <v>2</v>
      </c>
      <c r="F62" s="4" t="s">
        <v>3</v>
      </c>
      <c r="G62" s="6" t="s">
        <v>4</v>
      </c>
    </row>
    <row r="63" spans="1:8" x14ac:dyDescent="0.2">
      <c r="A63" s="212"/>
      <c r="B63" s="9" t="s">
        <v>44</v>
      </c>
      <c r="C63" s="14">
        <v>4712</v>
      </c>
      <c r="D63" s="14">
        <v>7622</v>
      </c>
      <c r="E63" s="14">
        <v>4249</v>
      </c>
      <c r="F63" s="14">
        <v>4171</v>
      </c>
      <c r="G63" s="14">
        <v>8074</v>
      </c>
    </row>
    <row r="64" spans="1:8" x14ac:dyDescent="0.2">
      <c r="A64" s="212"/>
      <c r="B64" s="9" t="s">
        <v>40</v>
      </c>
      <c r="C64" s="14">
        <v>1765</v>
      </c>
      <c r="D64" s="14">
        <v>3005</v>
      </c>
      <c r="E64" s="14">
        <v>3321</v>
      </c>
      <c r="F64" s="14">
        <v>2270</v>
      </c>
      <c r="G64" s="14">
        <v>2376</v>
      </c>
    </row>
    <row r="65" spans="1:9" x14ac:dyDescent="0.2">
      <c r="A65" s="212"/>
      <c r="B65" s="9" t="s">
        <v>41</v>
      </c>
      <c r="C65" s="14">
        <v>320</v>
      </c>
      <c r="D65" s="14">
        <v>630</v>
      </c>
      <c r="E65" s="14">
        <v>2928</v>
      </c>
      <c r="F65" s="14">
        <v>833</v>
      </c>
      <c r="G65" s="14">
        <v>436</v>
      </c>
    </row>
    <row r="66" spans="1:9" x14ac:dyDescent="0.2">
      <c r="A66" s="212"/>
      <c r="B66" s="9" t="s">
        <v>42</v>
      </c>
      <c r="C66" s="14">
        <v>353</v>
      </c>
      <c r="D66" s="14">
        <v>30</v>
      </c>
      <c r="E66" s="14">
        <v>1470</v>
      </c>
      <c r="F66" s="14">
        <v>107</v>
      </c>
      <c r="G66" s="14">
        <v>26</v>
      </c>
    </row>
    <row r="67" spans="1:9" x14ac:dyDescent="0.2">
      <c r="A67" s="212"/>
      <c r="B67" s="9" t="s">
        <v>160</v>
      </c>
      <c r="C67" s="14">
        <v>7150</v>
      </c>
      <c r="D67" s="14">
        <v>11287</v>
      </c>
      <c r="E67" s="14">
        <v>11968</v>
      </c>
      <c r="F67" s="14">
        <v>7381</v>
      </c>
      <c r="G67" s="14">
        <v>10912</v>
      </c>
    </row>
    <row r="68" spans="1:9" x14ac:dyDescent="0.2">
      <c r="B68" s="12"/>
      <c r="C68" s="13"/>
      <c r="D68" s="13"/>
      <c r="E68" s="13"/>
      <c r="F68" s="13"/>
      <c r="G68" s="13"/>
      <c r="H68" s="13"/>
      <c r="I68" s="13"/>
    </row>
    <row r="69" spans="1:9" x14ac:dyDescent="0.2">
      <c r="B69" s="12"/>
      <c r="C69" s="13"/>
      <c r="D69" s="13"/>
      <c r="E69" s="13"/>
      <c r="F69" s="13"/>
      <c r="G69" s="13"/>
      <c r="H69" s="13"/>
      <c r="I69" s="13"/>
    </row>
    <row r="70" spans="1:9" x14ac:dyDescent="0.2">
      <c r="B70" s="12"/>
      <c r="C70" s="13"/>
      <c r="D70" s="13"/>
      <c r="E70" s="13"/>
      <c r="F70" s="13"/>
      <c r="G70" s="13"/>
      <c r="H70" s="13"/>
      <c r="I70" s="13"/>
    </row>
  </sheetData>
  <mergeCells count="19">
    <mergeCell ref="A50:A53"/>
    <mergeCell ref="A54:A59"/>
    <mergeCell ref="A62:A67"/>
    <mergeCell ref="J2:J6"/>
    <mergeCell ref="A21:A24"/>
    <mergeCell ref="A25:A31"/>
    <mergeCell ref="AM2:AM5"/>
    <mergeCell ref="A2:A4"/>
    <mergeCell ref="A43:A46"/>
    <mergeCell ref="A47:A49"/>
    <mergeCell ref="A41:A42"/>
    <mergeCell ref="AF2:AF5"/>
    <mergeCell ref="A5:A8"/>
    <mergeCell ref="A9:A12"/>
    <mergeCell ref="A13:A16"/>
    <mergeCell ref="A17:A20"/>
    <mergeCell ref="R2:R6"/>
    <mergeCell ref="Y2:Y6"/>
    <mergeCell ref="A32:A40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EY4"/>
  <sheetViews>
    <sheetView topLeftCell="AJ1" zoomScale="85" zoomScaleNormal="85" workbookViewId="0">
      <selection activeCell="AY1" sqref="AY1"/>
    </sheetView>
  </sheetViews>
  <sheetFormatPr defaultRowHeight="14.25" x14ac:dyDescent="0.2"/>
  <sheetData>
    <row r="1" spans="1:155" x14ac:dyDescent="0.2">
      <c r="A1" t="s">
        <v>47</v>
      </c>
      <c r="B1" t="s">
        <v>48</v>
      </c>
      <c r="C1" t="s">
        <v>49</v>
      </c>
      <c r="D1" t="s">
        <v>50</v>
      </c>
      <c r="E1" t="s">
        <v>51</v>
      </c>
      <c r="F1" t="s">
        <v>52</v>
      </c>
      <c r="G1" t="s">
        <v>53</v>
      </c>
      <c r="H1" t="s">
        <v>54</v>
      </c>
      <c r="I1" t="s">
        <v>55</v>
      </c>
      <c r="J1" t="s">
        <v>56</v>
      </c>
      <c r="K1" t="s">
        <v>57</v>
      </c>
      <c r="L1" t="s">
        <v>58</v>
      </c>
      <c r="M1" t="s">
        <v>59</v>
      </c>
      <c r="N1" t="s">
        <v>60</v>
      </c>
      <c r="O1" t="s">
        <v>61</v>
      </c>
      <c r="P1" t="s">
        <v>62</v>
      </c>
      <c r="Q1" s="10" t="s">
        <v>63</v>
      </c>
      <c r="R1" t="s">
        <v>64</v>
      </c>
      <c r="S1" t="s">
        <v>65</v>
      </c>
      <c r="T1" t="s">
        <v>66</v>
      </c>
      <c r="U1" t="s">
        <v>67</v>
      </c>
      <c r="V1" t="s">
        <v>68</v>
      </c>
      <c r="W1" t="s">
        <v>69</v>
      </c>
      <c r="X1" t="s">
        <v>70</v>
      </c>
      <c r="Y1" t="s">
        <v>71</v>
      </c>
      <c r="Z1" t="s">
        <v>72</v>
      </c>
      <c r="AA1" t="s">
        <v>73</v>
      </c>
      <c r="AB1" t="s">
        <v>74</v>
      </c>
      <c r="AC1" t="s">
        <v>75</v>
      </c>
      <c r="AD1" t="s">
        <v>76</v>
      </c>
      <c r="AE1" t="s">
        <v>77</v>
      </c>
      <c r="AF1" t="s">
        <v>78</v>
      </c>
      <c r="AG1" t="s">
        <v>79</v>
      </c>
      <c r="AH1" t="s">
        <v>80</v>
      </c>
      <c r="AI1" t="s">
        <v>81</v>
      </c>
      <c r="AJ1" t="s">
        <v>82</v>
      </c>
      <c r="AK1" t="s">
        <v>83</v>
      </c>
      <c r="AL1" t="s">
        <v>84</v>
      </c>
      <c r="AM1" t="s">
        <v>85</v>
      </c>
      <c r="AN1" t="s">
        <v>86</v>
      </c>
      <c r="AO1" t="s">
        <v>87</v>
      </c>
      <c r="AP1" t="s">
        <v>88</v>
      </c>
      <c r="AQ1" t="s">
        <v>89</v>
      </c>
      <c r="AR1" t="s">
        <v>38</v>
      </c>
      <c r="AS1" t="s">
        <v>43</v>
      </c>
      <c r="AT1" t="s">
        <v>90</v>
      </c>
      <c r="AU1" t="s">
        <v>91</v>
      </c>
      <c r="AV1" t="s">
        <v>92</v>
      </c>
      <c r="AW1" t="s">
        <v>93</v>
      </c>
      <c r="AX1" t="s">
        <v>94</v>
      </c>
      <c r="AY1" t="s">
        <v>95</v>
      </c>
      <c r="BA1" t="s">
        <v>47</v>
      </c>
      <c r="BB1" t="s">
        <v>48</v>
      </c>
      <c r="BC1" t="s">
        <v>49</v>
      </c>
      <c r="BD1" t="s">
        <v>50</v>
      </c>
      <c r="BE1" t="s">
        <v>51</v>
      </c>
      <c r="BF1" t="s">
        <v>52</v>
      </c>
      <c r="BG1" t="s">
        <v>53</v>
      </c>
      <c r="BH1" t="s">
        <v>54</v>
      </c>
      <c r="BI1" t="s">
        <v>55</v>
      </c>
      <c r="BJ1" t="s">
        <v>56</v>
      </c>
      <c r="BK1" t="s">
        <v>57</v>
      </c>
      <c r="BL1" t="s">
        <v>58</v>
      </c>
      <c r="BM1" t="s">
        <v>59</v>
      </c>
      <c r="BN1" t="s">
        <v>60</v>
      </c>
      <c r="BO1" t="s">
        <v>61</v>
      </c>
      <c r="BP1" t="s">
        <v>62</v>
      </c>
      <c r="BQ1" s="10" t="s">
        <v>63</v>
      </c>
      <c r="BR1" t="s">
        <v>64</v>
      </c>
      <c r="BS1" t="s">
        <v>65</v>
      </c>
      <c r="BT1" t="s">
        <v>66</v>
      </c>
      <c r="BU1" t="s">
        <v>67</v>
      </c>
      <c r="BV1" t="s">
        <v>68</v>
      </c>
      <c r="BW1" t="s">
        <v>69</v>
      </c>
      <c r="BX1" t="s">
        <v>70</v>
      </c>
      <c r="BY1" t="s">
        <v>71</v>
      </c>
      <c r="BZ1" t="s">
        <v>72</v>
      </c>
      <c r="CA1" t="s">
        <v>73</v>
      </c>
      <c r="CB1" t="s">
        <v>74</v>
      </c>
      <c r="CC1" t="s">
        <v>75</v>
      </c>
      <c r="CD1" t="s">
        <v>76</v>
      </c>
      <c r="CE1" t="s">
        <v>77</v>
      </c>
      <c r="CF1" t="s">
        <v>78</v>
      </c>
      <c r="CG1" t="s">
        <v>79</v>
      </c>
      <c r="CH1" t="s">
        <v>80</v>
      </c>
      <c r="CI1" t="s">
        <v>81</v>
      </c>
      <c r="CJ1" t="s">
        <v>82</v>
      </c>
      <c r="CK1" t="s">
        <v>83</v>
      </c>
      <c r="CL1" t="s">
        <v>84</v>
      </c>
      <c r="CM1" t="s">
        <v>85</v>
      </c>
      <c r="CN1" t="s">
        <v>86</v>
      </c>
      <c r="CO1" t="s">
        <v>87</v>
      </c>
      <c r="CP1" t="s">
        <v>88</v>
      </c>
      <c r="CQ1" t="s">
        <v>89</v>
      </c>
      <c r="CR1" t="s">
        <v>38</v>
      </c>
      <c r="CS1" t="s">
        <v>43</v>
      </c>
      <c r="CT1" t="s">
        <v>90</v>
      </c>
      <c r="CU1" t="s">
        <v>91</v>
      </c>
      <c r="CV1" t="s">
        <v>92</v>
      </c>
      <c r="CW1" t="s">
        <v>93</v>
      </c>
      <c r="CX1" t="s">
        <v>94</v>
      </c>
      <c r="CY1" t="s">
        <v>95</v>
      </c>
      <c r="DA1" t="s">
        <v>47</v>
      </c>
      <c r="DB1" t="s">
        <v>48</v>
      </c>
      <c r="DC1" t="s">
        <v>49</v>
      </c>
      <c r="DD1" t="s">
        <v>50</v>
      </c>
      <c r="DE1" t="s">
        <v>51</v>
      </c>
      <c r="DF1" t="s">
        <v>52</v>
      </c>
      <c r="DG1" t="s">
        <v>53</v>
      </c>
      <c r="DH1" t="s">
        <v>54</v>
      </c>
      <c r="DI1" t="s">
        <v>55</v>
      </c>
      <c r="DJ1" t="s">
        <v>56</v>
      </c>
      <c r="DK1" t="s">
        <v>57</v>
      </c>
      <c r="DL1" t="s">
        <v>58</v>
      </c>
      <c r="DM1" t="s">
        <v>59</v>
      </c>
      <c r="DN1" t="s">
        <v>60</v>
      </c>
      <c r="DO1" t="s">
        <v>61</v>
      </c>
      <c r="DP1" t="s">
        <v>62</v>
      </c>
      <c r="DQ1" s="10" t="s">
        <v>63</v>
      </c>
      <c r="DR1" t="s">
        <v>64</v>
      </c>
      <c r="DS1" t="s">
        <v>65</v>
      </c>
      <c r="DT1" t="s">
        <v>66</v>
      </c>
      <c r="DU1" t="s">
        <v>67</v>
      </c>
      <c r="DV1" t="s">
        <v>68</v>
      </c>
      <c r="DW1" t="s">
        <v>69</v>
      </c>
      <c r="DX1" t="s">
        <v>70</v>
      </c>
      <c r="DY1" t="s">
        <v>71</v>
      </c>
      <c r="DZ1" t="s">
        <v>72</v>
      </c>
      <c r="EA1" t="s">
        <v>73</v>
      </c>
      <c r="EB1" t="s">
        <v>74</v>
      </c>
      <c r="EC1" t="s">
        <v>75</v>
      </c>
      <c r="ED1" t="s">
        <v>76</v>
      </c>
      <c r="EE1" t="s">
        <v>77</v>
      </c>
      <c r="EF1" t="s">
        <v>78</v>
      </c>
      <c r="EG1" t="s">
        <v>79</v>
      </c>
      <c r="EH1" t="s">
        <v>80</v>
      </c>
      <c r="EI1" t="s">
        <v>81</v>
      </c>
      <c r="EJ1" t="s">
        <v>82</v>
      </c>
      <c r="EK1" t="s">
        <v>83</v>
      </c>
      <c r="EL1" t="s">
        <v>84</v>
      </c>
      <c r="EM1" t="s">
        <v>85</v>
      </c>
      <c r="EN1" t="s">
        <v>86</v>
      </c>
      <c r="EO1" t="s">
        <v>87</v>
      </c>
      <c r="EP1" t="s">
        <v>88</v>
      </c>
      <c r="EQ1" t="s">
        <v>89</v>
      </c>
      <c r="ER1" t="s">
        <v>38</v>
      </c>
      <c r="ES1" t="s">
        <v>43</v>
      </c>
      <c r="ET1" t="s">
        <v>90</v>
      </c>
      <c r="EU1" t="s">
        <v>91</v>
      </c>
      <c r="EV1" t="s">
        <v>92</v>
      </c>
      <c r="EW1" t="s">
        <v>93</v>
      </c>
      <c r="EX1" t="s">
        <v>94</v>
      </c>
      <c r="EY1" t="s">
        <v>95</v>
      </c>
    </row>
    <row r="2" spans="1:155" x14ac:dyDescent="0.2">
      <c r="A2">
        <v>489478</v>
      </c>
      <c r="B2">
        <v>32813</v>
      </c>
      <c r="C2">
        <v>2083</v>
      </c>
      <c r="D2">
        <v>510</v>
      </c>
      <c r="E2">
        <v>1</v>
      </c>
      <c r="F2" t="s">
        <v>1</v>
      </c>
      <c r="H2" t="s">
        <v>96</v>
      </c>
      <c r="I2" t="s">
        <v>97</v>
      </c>
      <c r="J2">
        <v>112.93980999999999</v>
      </c>
      <c r="K2">
        <v>-7.9141320000000004</v>
      </c>
      <c r="L2">
        <v>8340826488840</v>
      </c>
      <c r="M2">
        <v>8340826488836</v>
      </c>
      <c r="N2">
        <v>8340826488835</v>
      </c>
      <c r="O2" t="s">
        <v>98</v>
      </c>
      <c r="P2" t="s">
        <v>99</v>
      </c>
      <c r="Q2" s="10" t="s">
        <v>100</v>
      </c>
      <c r="R2">
        <v>8340826488993</v>
      </c>
      <c r="S2">
        <v>1942</v>
      </c>
      <c r="V2">
        <v>112.93980999999999</v>
      </c>
      <c r="W2">
        <v>-7.9141320000000004</v>
      </c>
      <c r="Y2">
        <v>112.93980999999999</v>
      </c>
      <c r="Z2">
        <v>-7.9141320000000004</v>
      </c>
      <c r="AB2">
        <v>112.93980999999999</v>
      </c>
      <c r="AC2">
        <v>-7.9141320000000004</v>
      </c>
      <c r="AH2">
        <v>8</v>
      </c>
      <c r="AI2">
        <v>4</v>
      </c>
      <c r="AJ2">
        <v>161</v>
      </c>
      <c r="AK2">
        <v>3</v>
      </c>
      <c r="AL2">
        <v>1762.5</v>
      </c>
      <c r="AM2">
        <v>1.7625</v>
      </c>
      <c r="AN2" t="s">
        <v>101</v>
      </c>
      <c r="AO2" t="s">
        <v>102</v>
      </c>
      <c r="AP2" t="s">
        <v>103</v>
      </c>
      <c r="AQ2" t="s">
        <v>104</v>
      </c>
      <c r="AR2">
        <v>-76.599999999999994</v>
      </c>
      <c r="AS2">
        <v>-7.2</v>
      </c>
      <c r="AT2" t="e">
        <v>#N/A</v>
      </c>
      <c r="AU2" t="e">
        <v>#N/A</v>
      </c>
      <c r="AV2" t="e">
        <v>#N/A</v>
      </c>
      <c r="AW2" t="e">
        <v>#N/A</v>
      </c>
      <c r="AX2">
        <v>-7.2</v>
      </c>
      <c r="AY2" t="e">
        <v>#N/A</v>
      </c>
      <c r="BA2">
        <v>489477</v>
      </c>
      <c r="BD2">
        <v>510</v>
      </c>
      <c r="BE2">
        <v>10</v>
      </c>
      <c r="BF2" t="s">
        <v>3</v>
      </c>
      <c r="BH2" t="s">
        <v>107</v>
      </c>
      <c r="BI2" t="s">
        <v>108</v>
      </c>
      <c r="BJ2">
        <v>112.939824</v>
      </c>
      <c r="BK2">
        <v>-7.914066</v>
      </c>
      <c r="BL2">
        <v>8336531521554</v>
      </c>
      <c r="BM2">
        <v>8336531521545</v>
      </c>
      <c r="BN2">
        <v>8336531521543</v>
      </c>
      <c r="BO2" t="s">
        <v>98</v>
      </c>
      <c r="BP2" t="s">
        <v>99</v>
      </c>
      <c r="BQ2" s="10" t="s">
        <v>109</v>
      </c>
      <c r="BR2">
        <v>8336531521861</v>
      </c>
      <c r="BS2">
        <v>1941</v>
      </c>
      <c r="BV2">
        <v>112.939824</v>
      </c>
      <c r="BW2">
        <v>-7.914066</v>
      </c>
      <c r="BY2">
        <v>112.939824</v>
      </c>
      <c r="BZ2">
        <v>-7.914066</v>
      </c>
      <c r="CB2">
        <v>112.939824</v>
      </c>
      <c r="CC2">
        <v>-7.914066</v>
      </c>
      <c r="CH2">
        <v>18</v>
      </c>
      <c r="CI2">
        <v>9</v>
      </c>
      <c r="CJ2">
        <v>325</v>
      </c>
      <c r="CK2">
        <v>7</v>
      </c>
      <c r="CL2">
        <v>0</v>
      </c>
      <c r="CM2">
        <v>0</v>
      </c>
      <c r="CN2" t="s">
        <v>110</v>
      </c>
      <c r="CO2" t="s">
        <v>102</v>
      </c>
      <c r="CP2" t="s">
        <v>103</v>
      </c>
      <c r="CQ2" t="s">
        <v>104</v>
      </c>
      <c r="CR2">
        <v>-84.2</v>
      </c>
      <c r="CS2">
        <v>-8</v>
      </c>
      <c r="CT2" t="e">
        <v>#N/A</v>
      </c>
      <c r="CU2" t="e">
        <v>#N/A</v>
      </c>
      <c r="CV2" t="e">
        <v>#N/A</v>
      </c>
      <c r="CW2" t="e">
        <v>#N/A</v>
      </c>
      <c r="CX2" t="e">
        <v>#N/A</v>
      </c>
      <c r="CY2">
        <v>-8</v>
      </c>
      <c r="DA2">
        <v>489476</v>
      </c>
      <c r="DB2">
        <v>10648321</v>
      </c>
      <c r="DC2">
        <v>3009</v>
      </c>
      <c r="DD2">
        <v>510</v>
      </c>
      <c r="DE2">
        <v>28</v>
      </c>
      <c r="DF2" t="s">
        <v>2</v>
      </c>
      <c r="DG2" t="s">
        <v>119</v>
      </c>
      <c r="DH2" t="s">
        <v>107</v>
      </c>
      <c r="DI2" t="str">
        <f>DJ2&amp;DK2&amp;DN2</f>
        <v>112,939799-7,9140798336531521538</v>
      </c>
      <c r="DJ2">
        <v>112.93979899999999</v>
      </c>
      <c r="DK2">
        <v>-7.9140790000000001</v>
      </c>
      <c r="DL2">
        <v>8336531521544</v>
      </c>
      <c r="DM2">
        <v>8336531521540</v>
      </c>
      <c r="DN2">
        <v>8336531521538</v>
      </c>
      <c r="DO2" t="s">
        <v>98</v>
      </c>
      <c r="DP2" t="s">
        <v>99</v>
      </c>
      <c r="DQ2" s="10" t="s">
        <v>120</v>
      </c>
      <c r="DR2">
        <v>8336531521721</v>
      </c>
      <c r="DS2">
        <v>1941</v>
      </c>
      <c r="DV2">
        <v>112.93979899999999</v>
      </c>
      <c r="DW2">
        <v>-7.9140790000000001</v>
      </c>
      <c r="DY2">
        <v>112.93979899999999</v>
      </c>
      <c r="DZ2">
        <v>-7.9140790000000001</v>
      </c>
      <c r="EB2">
        <v>112.93979899999999</v>
      </c>
      <c r="EC2">
        <v>-7.9140790000000001</v>
      </c>
      <c r="EH2">
        <v>8</v>
      </c>
      <c r="EI2">
        <v>4</v>
      </c>
      <c r="EJ2">
        <v>185</v>
      </c>
      <c r="EK2">
        <v>2</v>
      </c>
      <c r="EL2">
        <v>2393.1</v>
      </c>
      <c r="EM2">
        <f>EL2/1000</f>
        <v>2.3931</v>
      </c>
      <c r="EN2" t="s">
        <v>101</v>
      </c>
      <c r="EO2" t="s">
        <v>102</v>
      </c>
      <c r="EP2" t="s">
        <v>103</v>
      </c>
      <c r="EQ2" t="s">
        <v>104</v>
      </c>
      <c r="ER2">
        <v>-88.6</v>
      </c>
      <c r="ES2">
        <v>-10</v>
      </c>
      <c r="ET2" t="e">
        <f>IF($AM2&gt;=25,$AS2,NA())</f>
        <v>#N/A</v>
      </c>
      <c r="EU2" t="e">
        <f>IF(AND($AM2&gt;=20,$AM2&lt;25),$AS2,NA())</f>
        <v>#N/A</v>
      </c>
      <c r="EV2" t="e">
        <f>IF(AND($AM2&gt;=7,$AM2&lt;20),$AS2,NA())</f>
        <v>#N/A</v>
      </c>
      <c r="EW2" t="e">
        <f>IF(AND($AM2&gt;=5,$AM2&lt;7),$AS2,NA())</f>
        <v>#N/A</v>
      </c>
      <c r="EX2">
        <f>IF(AND($AM2&gt;=1,$AM2&lt;5),$AS2,NA())</f>
        <v>-7.2</v>
      </c>
      <c r="EY2" t="e">
        <f>IF($AM2&lt;1,$AS2,NA())</f>
        <v>#N/A</v>
      </c>
    </row>
    <row r="3" spans="1:155" x14ac:dyDescent="0.2">
      <c r="A3">
        <v>489479</v>
      </c>
      <c r="B3">
        <v>32813</v>
      </c>
      <c r="C3">
        <v>2083</v>
      </c>
      <c r="D3">
        <v>510</v>
      </c>
      <c r="E3">
        <v>1</v>
      </c>
      <c r="F3" t="s">
        <v>1</v>
      </c>
      <c r="H3" t="s">
        <v>96</v>
      </c>
      <c r="I3" t="s">
        <v>105</v>
      </c>
      <c r="J3">
        <v>112.939824</v>
      </c>
      <c r="K3">
        <v>-7.9141260000000004</v>
      </c>
      <c r="L3">
        <v>8340826488850</v>
      </c>
      <c r="M3">
        <v>8340826488841</v>
      </c>
      <c r="N3">
        <v>8340826488835</v>
      </c>
      <c r="O3" t="s">
        <v>98</v>
      </c>
      <c r="P3" t="s">
        <v>99</v>
      </c>
      <c r="Q3" s="10" t="s">
        <v>106</v>
      </c>
      <c r="R3">
        <v>8340826489236</v>
      </c>
      <c r="S3">
        <v>1942</v>
      </c>
      <c r="V3">
        <v>112.939824</v>
      </c>
      <c r="W3">
        <v>-7.9141260000000004</v>
      </c>
      <c r="Y3">
        <v>112.939824</v>
      </c>
      <c r="Z3">
        <v>-7.9141260000000004</v>
      </c>
      <c r="AB3">
        <v>112.939824</v>
      </c>
      <c r="AC3">
        <v>-7.9141260000000004</v>
      </c>
      <c r="AH3">
        <v>18</v>
      </c>
      <c r="AI3">
        <v>9</v>
      </c>
      <c r="AJ3">
        <v>404</v>
      </c>
      <c r="AK3">
        <v>3</v>
      </c>
      <c r="AL3">
        <v>993.2</v>
      </c>
      <c r="AM3">
        <v>0.99320000000000008</v>
      </c>
      <c r="AN3" t="s">
        <v>101</v>
      </c>
      <c r="AO3" t="s">
        <v>102</v>
      </c>
      <c r="AP3" t="s">
        <v>103</v>
      </c>
      <c r="AQ3" t="s">
        <v>104</v>
      </c>
      <c r="AR3">
        <v>-97</v>
      </c>
      <c r="AS3">
        <v>-14</v>
      </c>
      <c r="AT3" t="e">
        <v>#N/A</v>
      </c>
      <c r="AU3" t="e">
        <v>#N/A</v>
      </c>
      <c r="AV3" t="e">
        <v>#N/A</v>
      </c>
      <c r="AW3" t="e">
        <v>#N/A</v>
      </c>
      <c r="AX3" t="e">
        <v>#N/A</v>
      </c>
      <c r="AY3">
        <v>-14</v>
      </c>
      <c r="BA3">
        <v>489480</v>
      </c>
      <c r="BB3">
        <v>57600789</v>
      </c>
      <c r="BC3">
        <v>6240</v>
      </c>
      <c r="BD3">
        <v>510</v>
      </c>
      <c r="BE3">
        <v>10</v>
      </c>
      <c r="BF3" t="s">
        <v>3</v>
      </c>
      <c r="BG3" t="s">
        <v>111</v>
      </c>
      <c r="BH3" t="s">
        <v>112</v>
      </c>
      <c r="BI3" t="s">
        <v>113</v>
      </c>
      <c r="BJ3">
        <v>112.93985499999999</v>
      </c>
      <c r="BK3">
        <v>-7.9141500000000002</v>
      </c>
      <c r="BL3">
        <v>8345121456136</v>
      </c>
      <c r="BM3">
        <v>8345121456132</v>
      </c>
      <c r="BN3">
        <v>8345121456132</v>
      </c>
      <c r="BO3" t="s">
        <v>98</v>
      </c>
      <c r="BP3" t="s">
        <v>99</v>
      </c>
      <c r="BQ3" s="10" t="s">
        <v>114</v>
      </c>
      <c r="BR3">
        <v>8345121456270</v>
      </c>
      <c r="BS3">
        <v>1943</v>
      </c>
      <c r="BV3">
        <v>112.93985499999999</v>
      </c>
      <c r="BW3">
        <v>-7.9141500000000002</v>
      </c>
      <c r="BY3">
        <v>112.93985499999999</v>
      </c>
      <c r="BZ3">
        <v>-7.9141500000000002</v>
      </c>
      <c r="CB3">
        <v>112.93985499999999</v>
      </c>
      <c r="CC3">
        <v>-7.9141500000000002</v>
      </c>
      <c r="CH3">
        <v>8</v>
      </c>
      <c r="CI3">
        <v>4</v>
      </c>
      <c r="CJ3">
        <v>142</v>
      </c>
      <c r="CK3">
        <v>4</v>
      </c>
      <c r="CL3">
        <v>2807</v>
      </c>
      <c r="CM3">
        <v>2.8069999999999999</v>
      </c>
      <c r="CN3" t="s">
        <v>101</v>
      </c>
      <c r="CO3" t="s">
        <v>102</v>
      </c>
      <c r="CP3" t="s">
        <v>103</v>
      </c>
      <c r="CQ3" t="s">
        <v>104</v>
      </c>
      <c r="CR3">
        <v>-88.3</v>
      </c>
      <c r="CS3">
        <v>-10</v>
      </c>
      <c r="CT3" t="e">
        <v>#N/A</v>
      </c>
      <c r="CU3" t="e">
        <v>#N/A</v>
      </c>
      <c r="CV3" t="e">
        <v>#N/A</v>
      </c>
      <c r="CW3" t="e">
        <v>#N/A</v>
      </c>
      <c r="CX3">
        <v>-10</v>
      </c>
      <c r="CY3" t="e">
        <v>#N/A</v>
      </c>
    </row>
    <row r="4" spans="1:155" x14ac:dyDescent="0.2">
      <c r="BA4">
        <v>489481</v>
      </c>
      <c r="BB4">
        <v>57600790</v>
      </c>
      <c r="BC4">
        <v>6240</v>
      </c>
      <c r="BD4">
        <v>510</v>
      </c>
      <c r="BE4">
        <v>10</v>
      </c>
      <c r="BF4" t="s">
        <v>3</v>
      </c>
      <c r="BG4" t="s">
        <v>115</v>
      </c>
      <c r="BH4" t="s">
        <v>116</v>
      </c>
      <c r="BI4" t="s">
        <v>117</v>
      </c>
      <c r="BJ4">
        <v>112.939863</v>
      </c>
      <c r="BK4">
        <v>-7.914142</v>
      </c>
      <c r="BL4">
        <v>8345121456146</v>
      </c>
      <c r="BM4">
        <v>8345121456137</v>
      </c>
      <c r="BN4">
        <v>8345121456134</v>
      </c>
      <c r="BO4" t="s">
        <v>98</v>
      </c>
      <c r="BP4" t="s">
        <v>99</v>
      </c>
      <c r="BQ4" s="10" t="s">
        <v>118</v>
      </c>
      <c r="BR4">
        <v>8345121456440</v>
      </c>
      <c r="BS4">
        <v>1943</v>
      </c>
      <c r="BV4">
        <v>112.939863</v>
      </c>
      <c r="BW4">
        <v>-7.914142</v>
      </c>
      <c r="BY4">
        <v>112.939863</v>
      </c>
      <c r="BZ4">
        <v>-7.914142</v>
      </c>
      <c r="CB4">
        <v>112.939863</v>
      </c>
      <c r="CC4">
        <v>-7.914142</v>
      </c>
      <c r="CH4">
        <v>18</v>
      </c>
      <c r="CI4">
        <v>9</v>
      </c>
      <c r="CJ4">
        <v>312</v>
      </c>
      <c r="CK4">
        <v>6</v>
      </c>
      <c r="CL4">
        <v>1561.9</v>
      </c>
      <c r="CM4">
        <v>1.5619000000000001</v>
      </c>
      <c r="CN4" t="s">
        <v>101</v>
      </c>
      <c r="CO4" t="s">
        <v>102</v>
      </c>
      <c r="CP4" t="s">
        <v>103</v>
      </c>
      <c r="CQ4" t="s">
        <v>104</v>
      </c>
      <c r="CR4">
        <v>-88.3</v>
      </c>
      <c r="CS4">
        <v>-12</v>
      </c>
      <c r="CT4" t="e">
        <v>#N/A</v>
      </c>
      <c r="CU4" t="e">
        <v>#N/A</v>
      </c>
      <c r="CV4" t="e">
        <v>#N/A</v>
      </c>
      <c r="CW4" t="e">
        <v>#N/A</v>
      </c>
      <c r="CX4">
        <v>-12</v>
      </c>
      <c r="CY4" t="e">
        <v>#N/A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"/>
  <sheetViews>
    <sheetView tabSelected="1" zoomScaleNormal="100" workbookViewId="0">
      <selection activeCell="P19" sqref="P19"/>
    </sheetView>
  </sheetViews>
  <sheetFormatPr defaultRowHeight="14.25" x14ac:dyDescent="0.2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"/>
  <sheetViews>
    <sheetView workbookViewId="0">
      <selection activeCell="K5" sqref="K5"/>
    </sheetView>
  </sheetViews>
  <sheetFormatPr defaultRowHeight="14.25" x14ac:dyDescent="0.2"/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"/>
  <sheetViews>
    <sheetView workbookViewId="0">
      <selection activeCell="G37" sqref="G37"/>
    </sheetView>
  </sheetViews>
  <sheetFormatPr defaultRowHeight="14.25" x14ac:dyDescent="0.2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"/>
  <sheetViews>
    <sheetView topLeftCell="B1" workbookViewId="0">
      <selection activeCell="O19" sqref="O19"/>
    </sheetView>
  </sheetViews>
  <sheetFormatPr defaultRowHeight="14.25" x14ac:dyDescent="0.2"/>
  <sheetData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"/>
  <sheetViews>
    <sheetView zoomScale="85" zoomScaleNormal="85" workbookViewId="0">
      <selection activeCell="F18" sqref="F18"/>
    </sheetView>
  </sheetViews>
  <sheetFormatPr defaultRowHeight="14.25" x14ac:dyDescent="0.2"/>
  <sheetData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"/>
  <sheetViews>
    <sheetView workbookViewId="0">
      <selection activeCell="F39" sqref="F39"/>
    </sheetView>
  </sheetViews>
  <sheetFormatPr defaultRowHeight="14.25" x14ac:dyDescent="0.2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"/>
  <sheetViews>
    <sheetView zoomScale="85" zoomScaleNormal="85" workbookViewId="0">
      <selection activeCell="D40" sqref="D40"/>
    </sheetView>
  </sheetViews>
  <sheetFormatPr defaultRowHeight="14.25" x14ac:dyDescent="0.2"/>
  <sheetData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/>
  <dimension ref="A1"/>
  <sheetViews>
    <sheetView zoomScale="85" zoomScaleNormal="85" workbookViewId="0">
      <selection activeCell="L19" sqref="L19"/>
    </sheetView>
  </sheetViews>
  <sheetFormatPr defaultRowHeight="14.25" x14ac:dyDescent="0.2"/>
  <sheetData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/>
  <dimension ref="A1"/>
  <sheetViews>
    <sheetView workbookViewId="0">
      <selection activeCell="F17" sqref="F17"/>
    </sheetView>
  </sheetViews>
  <sheetFormatPr defaultRowHeight="14.25" x14ac:dyDescent="0.2"/>
  <sheetData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5"/>
  <dimension ref="A1"/>
  <sheetViews>
    <sheetView zoomScaleNormal="100" workbookViewId="0">
      <selection activeCell="J19" sqref="J19"/>
    </sheetView>
  </sheetViews>
  <sheetFormatPr defaultRowHeight="14.25" x14ac:dyDescent="0.2"/>
  <sheetData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6"/>
  <dimension ref="A1"/>
  <sheetViews>
    <sheetView workbookViewId="0"/>
  </sheetViews>
  <sheetFormatPr defaultRowHeight="14.25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Summary Radio</vt:lpstr>
      <vt:lpstr>Summary Data &amp; Voice</vt:lpstr>
      <vt:lpstr>Input</vt:lpstr>
      <vt:lpstr>Scattering Plot FTP DL 4G</vt:lpstr>
      <vt:lpstr>Radio Tech</vt:lpstr>
      <vt:lpstr>HTTP</vt:lpstr>
      <vt:lpstr>FTP</vt:lpstr>
      <vt:lpstr>Scater Plot FTP DL 4G</vt:lpstr>
      <vt:lpstr>Speedtest</vt:lpstr>
      <vt:lpstr>Capacity Test</vt:lpstr>
      <vt:lpstr>Youtube</vt:lpstr>
      <vt:lpstr>Whatsapp Call</vt:lpstr>
      <vt:lpstr>Whatsapp Message</vt:lpstr>
      <vt:lpstr>Voice Call</vt:lpstr>
      <vt:lpstr>SMS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Hashfi Ihkamuddin</cp:lastModifiedBy>
  <dcterms:created xsi:type="dcterms:W3CDTF">2020-09-22T07:18:37Z</dcterms:created>
  <dcterms:modified xsi:type="dcterms:W3CDTF">2022-08-11T12:57:16Z</dcterms:modified>
</cp:coreProperties>
</file>